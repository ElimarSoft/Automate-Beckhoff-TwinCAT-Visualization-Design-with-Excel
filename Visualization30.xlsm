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ro\Desktop\ABB\Export\"/>
    </mc:Choice>
  </mc:AlternateContent>
  <xr:revisionPtr revIDLastSave="0" documentId="8_{03E4B0A3-E2DF-4655-997C-B44C1444039B}" xr6:coauthVersionLast="47" xr6:coauthVersionMax="47" xr10:uidLastSave="{00000000-0000-0000-0000-000000000000}"/>
  <bookViews>
    <workbookView xWindow="30330" yWindow="3045" windowWidth="21600" windowHeight="11295" xr2:uid="{00000000-000D-0000-FFFF-FFFF00000000}"/>
  </bookViews>
  <sheets>
    <sheet name="Config" sheetId="3" r:id="rId1"/>
    <sheet name="List" sheetId="1" r:id="rId2"/>
    <sheet name="Vars" sheetId="5" r:id="rId3"/>
    <sheet name="ListTrans" sheetId="2" r:id="rId4"/>
    <sheet name="Sheet1" sheetId="4" r:id="rId5"/>
  </sheets>
  <definedNames>
    <definedName name="_xlnm._FilterDatabase" localSheetId="1" hidden="1">List!$A$1:$D$286</definedName>
    <definedName name="FileName">Config!$B$3</definedName>
    <definedName name="FilePath">Config!$B$2</definedName>
    <definedName name="OutName">Config!$B$4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" l="1"/>
  <c r="D48" i="1"/>
  <c r="D70" i="1"/>
  <c r="D92" i="1"/>
  <c r="D114" i="1"/>
  <c r="D136" i="1"/>
  <c r="D158" i="1"/>
  <c r="D184" i="1"/>
  <c r="D183" i="1"/>
  <c r="D182" i="1"/>
  <c r="D181" i="1"/>
  <c r="D180" i="1"/>
  <c r="D175" i="1"/>
  <c r="D174" i="1"/>
  <c r="D173" i="1"/>
  <c r="D172" i="1"/>
  <c r="D171" i="1"/>
  <c r="D170" i="1"/>
  <c r="D169" i="1"/>
  <c r="D164" i="1"/>
  <c r="D163" i="1"/>
  <c r="D162" i="1"/>
  <c r="D161" i="1"/>
  <c r="D160" i="1"/>
  <c r="D159" i="1"/>
  <c r="D153" i="1"/>
  <c r="D152" i="1"/>
  <c r="D151" i="1"/>
  <c r="D150" i="1"/>
  <c r="D149" i="1"/>
  <c r="D148" i="1"/>
  <c r="D147" i="1"/>
  <c r="D142" i="1"/>
  <c r="D141" i="1"/>
  <c r="D140" i="1"/>
  <c r="D139" i="1"/>
  <c r="D138" i="1"/>
  <c r="D137" i="1"/>
  <c r="D131" i="1"/>
  <c r="D130" i="1"/>
  <c r="D129" i="1"/>
  <c r="D128" i="1"/>
  <c r="D127" i="1"/>
  <c r="D126" i="1"/>
  <c r="D125" i="1"/>
  <c r="D120" i="1"/>
  <c r="D119" i="1"/>
  <c r="D118" i="1"/>
  <c r="D117" i="1"/>
  <c r="D116" i="1"/>
  <c r="D115" i="1"/>
  <c r="D109" i="1"/>
  <c r="D108" i="1"/>
  <c r="D107" i="1"/>
  <c r="D106" i="1"/>
  <c r="D105" i="1"/>
  <c r="D104" i="1"/>
  <c r="D103" i="1"/>
  <c r="D98" i="1"/>
  <c r="D97" i="1"/>
  <c r="D96" i="1"/>
  <c r="D95" i="1"/>
  <c r="D94" i="1"/>
  <c r="D93" i="1"/>
  <c r="D87" i="1"/>
  <c r="D86" i="1"/>
  <c r="D85" i="1"/>
  <c r="D84" i="1"/>
  <c r="D83" i="1"/>
  <c r="D82" i="1"/>
  <c r="D81" i="1"/>
  <c r="D76" i="1"/>
  <c r="D75" i="1"/>
  <c r="D74" i="1"/>
  <c r="D73" i="1"/>
  <c r="D72" i="1"/>
  <c r="D71" i="1"/>
  <c r="D65" i="1"/>
  <c r="D64" i="1"/>
  <c r="D63" i="1"/>
  <c r="D62" i="1"/>
  <c r="D61" i="1"/>
  <c r="D60" i="1"/>
  <c r="D59" i="1"/>
  <c r="D54" i="1"/>
  <c r="D53" i="1"/>
  <c r="D52" i="1"/>
  <c r="D51" i="1"/>
  <c r="D50" i="1"/>
  <c r="D49" i="1"/>
  <c r="D43" i="1"/>
  <c r="D42" i="1"/>
  <c r="D41" i="1"/>
  <c r="D40" i="1"/>
  <c r="D39" i="1"/>
  <c r="D38" i="1"/>
  <c r="D37" i="1"/>
  <c r="D32" i="1"/>
  <c r="D31" i="1"/>
  <c r="D30" i="1"/>
  <c r="D29" i="1"/>
  <c r="D28" i="1"/>
  <c r="D27" i="1"/>
  <c r="D21" i="1"/>
  <c r="D20" i="1"/>
  <c r="D19" i="1"/>
  <c r="D18" i="1"/>
  <c r="D17" i="1"/>
  <c r="D16" i="1"/>
  <c r="D15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<sst xmlns="http://schemas.openxmlformats.org/spreadsheetml/2006/main" count="418" uniqueCount="143">
  <si>
    <t>Text variable</t>
  </si>
  <si>
    <t>Text</t>
  </si>
  <si>
    <t>Position X</t>
  </si>
  <si>
    <t>Position Y</t>
  </si>
  <si>
    <t>Position Width</t>
  </si>
  <si>
    <t>Position Height</t>
  </si>
  <si>
    <t>Level</t>
  </si>
  <si>
    <t>Item</t>
  </si>
  <si>
    <t>Value</t>
  </si>
  <si>
    <t>FilePath</t>
  </si>
  <si>
    <t>C:\Users\micro\Documents\TcXaeShell\TwinCAT Project5\TwinCAT Project5\PCL1\VISUs\</t>
  </si>
  <si>
    <t>FileName</t>
  </si>
  <si>
    <t>Line Num</t>
  </si>
  <si>
    <t>Name</t>
  </si>
  <si>
    <t>Identifier</t>
  </si>
  <si>
    <t>Parent</t>
  </si>
  <si>
    <t>OutName</t>
  </si>
  <si>
    <t>VisualElementName = Rectangle</t>
  </si>
  <si>
    <t xml:space="preserve"> Rectangle</t>
  </si>
  <si>
    <t xml:space="preserve"> GenElemInst_115</t>
  </si>
  <si>
    <t xml:space="preserve"> GenElemInst_117</t>
  </si>
  <si>
    <t xml:space="preserve"> GroupBox</t>
  </si>
  <si>
    <t xml:space="preserve"> GenElemInst_113</t>
  </si>
  <si>
    <t>ID</t>
  </si>
  <si>
    <t>Numeric</t>
  </si>
  <si>
    <t>1649127785L</t>
  </si>
  <si>
    <t>357335551L</t>
  </si>
  <si>
    <t>2422045748L</t>
  </si>
  <si>
    <t>2134141914L</t>
  </si>
  <si>
    <t>390574330L</t>
  </si>
  <si>
    <t>2477733581L</t>
  </si>
  <si>
    <t>Act</t>
  </si>
  <si>
    <t>Tooltip variable</t>
  </si>
  <si>
    <t>Text list</t>
  </si>
  <si>
    <t>Text index</t>
  </si>
  <si>
    <t>Tooltip index</t>
  </si>
  <si>
    <t>3774423699L</t>
  </si>
  <si>
    <t>1759708742L</t>
  </si>
  <si>
    <t>2114174855L</t>
  </si>
  <si>
    <t>4168582468L</t>
  </si>
  <si>
    <t>Tooltip</t>
  </si>
  <si>
    <t>571893170L</t>
  </si>
  <si>
    <t>&lt;a n="ConfiguredComplexInputs" et="ComplexInput" /&gt;</t>
  </si>
  <si>
    <t>Visualization_Speeds_1</t>
  </si>
  <si>
    <t>Visualization_Speeds</t>
  </si>
  <si>
    <t>GroupBox</t>
  </si>
  <si>
    <t>VisualElementName = GroupBox</t>
  </si>
  <si>
    <t>VisualElementIdentifier = GenElemInst_87</t>
  </si>
  <si>
    <t>VisualElementId = 87</t>
  </si>
  <si>
    <t>VisualElementIdentifier = GenElemInst_89</t>
  </si>
  <si>
    <t>VisualElementId = 89</t>
  </si>
  <si>
    <t>VisualElementIdentifier = GenElemInst_91</t>
  </si>
  <si>
    <t>VisualElementId = 91</t>
  </si>
  <si>
    <t>VisualElementIdentifier = GenElemInst_93</t>
  </si>
  <si>
    <t>VisualElementId = 93</t>
  </si>
  <si>
    <t>VisualElementIdentifier = GenElemInst_95</t>
  </si>
  <si>
    <t>VisualElementId = 95</t>
  </si>
  <si>
    <t>VisualElementIdentifier = GenElemInst_97</t>
  </si>
  <si>
    <t>VisualElementId = 97</t>
  </si>
  <si>
    <t>VisualElementIdentifier = GenElemInst_99</t>
  </si>
  <si>
    <t>VisualElementId = 99</t>
  </si>
  <si>
    <t>VisualElementIdentifier = GenElemInst_101</t>
  </si>
  <si>
    <t>VisualElementId = 101</t>
  </si>
  <si>
    <t>VisualElementIdentifier = GenElemInst_103</t>
  </si>
  <si>
    <t>VisualElementId = 103</t>
  </si>
  <si>
    <t>VisualElementIdentifier = GenElemInst_105</t>
  </si>
  <si>
    <t>VisualElementId = 105</t>
  </si>
  <si>
    <t>VisualElementIdentifier = GenElemInst_107</t>
  </si>
  <si>
    <t>VisualElementId = 107</t>
  </si>
  <si>
    <t>VisualElementIdentifier = GenElemInst_109</t>
  </si>
  <si>
    <t>VisualElementId = 109</t>
  </si>
  <si>
    <t>VisualElementIdentifier = GenElemInst_111</t>
  </si>
  <si>
    <t>VisualElementId = 111</t>
  </si>
  <si>
    <t>VisualElementIdentifier = GenElemInst_113</t>
  </si>
  <si>
    <t>VisualElementId = 113</t>
  </si>
  <si>
    <t>VisualElementIdentifier = GenElemInst_115</t>
  </si>
  <si>
    <t>VisualElementId = 115</t>
  </si>
  <si>
    <t>VisualElementIdentifier = GenElemInst_117</t>
  </si>
  <si>
    <t>VisualElementId = 117</t>
  </si>
  <si>
    <t>VisualElementIdentifier = GenElemInst_86</t>
  </si>
  <si>
    <t>VisualElementId = 86</t>
  </si>
  <si>
    <t xml:space="preserve"> GenElemInst_87</t>
  </si>
  <si>
    <t xml:space="preserve"> GenElemInst_89</t>
  </si>
  <si>
    <t xml:space="preserve"> GenElemInst_91</t>
  </si>
  <si>
    <t xml:space="preserve"> GenElemInst_93</t>
  </si>
  <si>
    <t xml:space="preserve"> GenElemInst_95</t>
  </si>
  <si>
    <t xml:space="preserve"> GenElemInst_97</t>
  </si>
  <si>
    <t xml:space="preserve"> GenElemInst_99</t>
  </si>
  <si>
    <t xml:space="preserve"> GenElemInst_101</t>
  </si>
  <si>
    <t xml:space="preserve"> GenElemInst_103</t>
  </si>
  <si>
    <t xml:space="preserve"> GenElemInst_105</t>
  </si>
  <si>
    <t xml:space="preserve"> GenElemInst_107</t>
  </si>
  <si>
    <t xml:space="preserve"> GenElemInst_109</t>
  </si>
  <si>
    <t xml:space="preserve"> GenElemInst_111</t>
  </si>
  <si>
    <t xml:space="preserve"> GenElemInst_86</t>
  </si>
  <si>
    <t>GVL.InstallationA.Device01.Motors[  1].Speed</t>
  </si>
  <si>
    <t>GVL.InstallationA.Device01.Motors[  2].Speed</t>
  </si>
  <si>
    <t>GVL.InstallationA.Device01.Motors[  3].Speed</t>
  </si>
  <si>
    <t>GVL.InstallationA.Device01.Motors[  4].Speed</t>
  </si>
  <si>
    <t>GVL.InstallationA.Device01.Motors[  5].Speed</t>
  </si>
  <si>
    <t>GVL.InstallationA.Device01.Motors[  6].Speed</t>
  </si>
  <si>
    <t>GVL.InstallationA.Device01.Motors[  7].Speed</t>
  </si>
  <si>
    <t>GVL.InstallationA.Device01.Motors[  8].Speed</t>
  </si>
  <si>
    <t>GVL.InstallationA.Device01.Motors[  9].Speed</t>
  </si>
  <si>
    <t>GVL.InstallationA.Device01.Motors[ 10].Speed</t>
  </si>
  <si>
    <t>GVL.InstallationA.Device01.Motors[ 11].Speed</t>
  </si>
  <si>
    <t>GVL.InstallationA.Device01.Motors[ 12].Speed</t>
  </si>
  <si>
    <t>GVL.InstallationA.Device01.Motors[ 13].Speed</t>
  </si>
  <si>
    <t>GVL.InstallationA.Device01.Motors[ 14].Speed</t>
  </si>
  <si>
    <t>GVL.InstallationA.Device01.Motors[ 15].Speed</t>
  </si>
  <si>
    <t>GVL.InstallationA.Device01.Motors[ 16].Speed</t>
  </si>
  <si>
    <t>Motor01 %5.2f amp</t>
  </si>
  <si>
    <t>Motor02 %5.2f amp</t>
  </si>
  <si>
    <t>Motor03 %5.2f amp</t>
  </si>
  <si>
    <t>Motor04 %5.2f amp</t>
  </si>
  <si>
    <t>Motor05 %5.2f amp</t>
  </si>
  <si>
    <t>Motor06 %5.2f amp</t>
  </si>
  <si>
    <t>Motor07 %5.2f amp</t>
  </si>
  <si>
    <t>Motor08 %5.2f amp</t>
  </si>
  <si>
    <t>Motor09 %5.2f amp</t>
  </si>
  <si>
    <t>Motor10 %5.2f amp</t>
  </si>
  <si>
    <t>Motor11 %5.2f amp</t>
  </si>
  <si>
    <t>Motor12 %5.2f amp</t>
  </si>
  <si>
    <t>Motor13 %5.2f amp</t>
  </si>
  <si>
    <t>Motor14 %5.2f amp</t>
  </si>
  <si>
    <t>Motor15 %5.2f amp</t>
  </si>
  <si>
    <t>Motor16 %5.2f amp</t>
  </si>
  <si>
    <t>Motor03 [%5.2f RPM]</t>
  </si>
  <si>
    <t>Motor04 [%5.2f RPM]</t>
  </si>
  <si>
    <t>Motor05 [%5.2f RPM]</t>
  </si>
  <si>
    <t>Motor06 [%5.2f RPM]</t>
  </si>
  <si>
    <t>Motor07 [%5.2f RPM]</t>
  </si>
  <si>
    <t>Motor08 [%5.2f RPM]</t>
  </si>
  <si>
    <t>Motor09 [%5.2f RPM]</t>
  </si>
  <si>
    <t>Motor10 [%5.2f RPM]</t>
  </si>
  <si>
    <t>Motor11 [%5.2f RPM]</t>
  </si>
  <si>
    <t>Motor12 [%5.2f RPM]</t>
  </si>
  <si>
    <t>Motor13 [%5.2f RPM]</t>
  </si>
  <si>
    <t>Motor14 [%5.2f RPM]</t>
  </si>
  <si>
    <t>Motor15 [%5.2f RPM]</t>
  </si>
  <si>
    <t>Motor16 [%5.2f RPM]</t>
  </si>
  <si>
    <t>Motor01 [%5.2f RPM]</t>
  </si>
  <si>
    <t>Motor02 [%5.2f RPM]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</si>
</sst>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19050</xdr:rowOff>
        </xdr:from>
        <xdr:to>
          <xdr:col>1</xdr:col>
          <xdr:colOff>9525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ReadVisualizationFile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1</xdr:col>
          <xdr:colOff>9525</xdr:colOff>
          <xdr:row>11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WriteVisualizationFile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6697-E9C1-4444-80A5-7CF1F93BC41C}">
  <sheetPr codeName="Sheet3"/>
  <dimension ref="A2:B4"/>
  <sheetViews>
    <sheetView tabSelected="1" workbookViewId="0">
      <selection activeCell="B4" sqref="B4"/>
    </sheetView>
  </sheetViews>
  <sheetFormatPr defaultRowHeight="15" x14ac:dyDescent="0.25"/>
  <cols>
    <col min="1" max="1" width="24.7109375" customWidth="1"/>
    <col min="2" max="2" width="82.28515625" bestFit="1" customWidth="1"/>
  </cols>
  <sheetData>
    <row r="2" spans="1:2" x14ac:dyDescent="0.25">
      <c r="A2" t="s">
        <v>9</v>
      </c>
      <c r="B2" t="s">
        <v>10</v>
      </c>
    </row>
    <row r="3" spans="1:2" x14ac:dyDescent="0.25">
      <c r="A3" t="s">
        <v>11</v>
      </c>
      <c r="B3" t="s">
        <v>43</v>
      </c>
    </row>
    <row r="4" spans="1:2" x14ac:dyDescent="0.25">
      <c r="A4" t="s">
        <v>16</v>
      </c>
      <c r="B4" t="s">
        <v>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adVisualizationFile">
                <anchor moveWithCells="1" sizeWithCells="1">
                  <from>
                    <xdr:col>0</xdr:col>
                    <xdr:colOff>9525</xdr:colOff>
                    <xdr:row>6</xdr:row>
                    <xdr:rowOff>19050</xdr:rowOff>
                  </from>
                  <to>
                    <xdr:col>1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WriteVisualizationFi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1</xdr:col>
                    <xdr:colOff>9525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87"/>
  <sheetViews>
    <sheetView workbookViewId="0">
      <selection activeCell="C17" sqref="C17"/>
    </sheetView>
  </sheetViews>
  <sheetFormatPr defaultRowHeight="15" x14ac:dyDescent="0.25"/>
  <cols>
    <col min="1" max="1" width="9.140625" customWidth="1"/>
    <col min="2" max="2" width="13" customWidth="1"/>
    <col min="3" max="3" width="51.85546875" bestFit="1" customWidth="1"/>
    <col min="4" max="4" width="42.5703125" bestFit="1" customWidth="1"/>
    <col min="5" max="5" width="17.7109375" customWidth="1"/>
    <col min="6" max="6" width="15.28515625" customWidth="1"/>
  </cols>
  <sheetData>
    <row r="1" spans="1:4" s="2" customFormat="1" x14ac:dyDescent="0.25">
      <c r="A1" s="2" t="s">
        <v>12</v>
      </c>
      <c r="B1" s="2" t="s">
        <v>6</v>
      </c>
      <c r="C1" s="2" t="s">
        <v>7</v>
      </c>
      <c r="D1" s="2" t="s">
        <v>8</v>
      </c>
    </row>
    <row r="2" spans="1:4" s="3" customFormat="1" x14ac:dyDescent="0.25">
      <c r="A2" s="3">
        <v>12</v>
      </c>
      <c r="B2" s="3">
        <v>3</v>
      </c>
      <c r="C2" s="3" t="s">
        <v>42</v>
      </c>
    </row>
    <row r="3" spans="1:4" s="3" customFormat="1" x14ac:dyDescent="0.25">
      <c r="A3" s="3">
        <v>15</v>
      </c>
      <c r="B3" s="3">
        <v>4</v>
      </c>
      <c r="C3" s="3" t="s">
        <v>42</v>
      </c>
    </row>
    <row r="4" spans="1:4" x14ac:dyDescent="0.25">
      <c r="A4">
        <v>22</v>
      </c>
      <c r="B4">
        <v>6</v>
      </c>
      <c r="C4" t="s">
        <v>40</v>
      </c>
      <c r="D4">
        <f>INDEX(ListTrans!A:Z,2,10)</f>
        <v>0</v>
      </c>
    </row>
    <row r="5" spans="1:4" x14ac:dyDescent="0.25">
      <c r="A5">
        <v>102</v>
      </c>
      <c r="B5">
        <v>6</v>
      </c>
      <c r="C5" t="s">
        <v>2</v>
      </c>
      <c r="D5">
        <f>INDEX(ListTrans!A:Z,2,5)</f>
        <v>50</v>
      </c>
    </row>
    <row r="6" spans="1:4" x14ac:dyDescent="0.25">
      <c r="A6">
        <v>106</v>
      </c>
      <c r="B6">
        <v>6</v>
      </c>
      <c r="C6" t="s">
        <v>3</v>
      </c>
      <c r="D6">
        <f>INDEX(ListTrans!A:Z,2,6)</f>
        <v>50</v>
      </c>
    </row>
    <row r="7" spans="1:4" x14ac:dyDescent="0.25">
      <c r="A7">
        <v>110</v>
      </c>
      <c r="B7">
        <v>6</v>
      </c>
      <c r="C7" t="s">
        <v>4</v>
      </c>
      <c r="D7">
        <f>INDEX(ListTrans!A:Z,2,7)</f>
        <v>150</v>
      </c>
    </row>
    <row r="8" spans="1:4" x14ac:dyDescent="0.25">
      <c r="A8">
        <v>114</v>
      </c>
      <c r="B8">
        <v>6</v>
      </c>
      <c r="C8" t="s">
        <v>5</v>
      </c>
      <c r="D8">
        <f>INDEX(ListTrans!A:Z,2,8)</f>
        <v>30</v>
      </c>
    </row>
    <row r="9" spans="1:4" x14ac:dyDescent="0.25">
      <c r="A9">
        <v>153</v>
      </c>
      <c r="B9">
        <v>6</v>
      </c>
      <c r="C9" t="s">
        <v>1</v>
      </c>
      <c r="D9" t="str">
        <f>INDEX(ListTrans!A:Z,2,9)</f>
        <v>Motor01 [%5.2f RPM]</v>
      </c>
    </row>
    <row r="10" spans="1:4" x14ac:dyDescent="0.25">
      <c r="A10">
        <v>165</v>
      </c>
      <c r="B10">
        <v>6</v>
      </c>
      <c r="C10" t="s">
        <v>0</v>
      </c>
      <c r="D10" t="str">
        <f>INDEX(ListTrans!A:Z,2,11)</f>
        <v>GVL.InstallationA.Device01.Motors[  1].Speed</v>
      </c>
    </row>
    <row r="11" spans="1:4" x14ac:dyDescent="0.25">
      <c r="A11">
        <v>162</v>
      </c>
      <c r="B11">
        <v>4</v>
      </c>
      <c r="C11" t="s">
        <v>17</v>
      </c>
    </row>
    <row r="12" spans="1:4" x14ac:dyDescent="0.25">
      <c r="A12">
        <v>165</v>
      </c>
      <c r="B12">
        <v>4</v>
      </c>
      <c r="C12" t="s">
        <v>47</v>
      </c>
    </row>
    <row r="13" spans="1:4" s="1" customFormat="1" x14ac:dyDescent="0.25">
      <c r="A13" s="1">
        <v>173</v>
      </c>
      <c r="B13" s="1">
        <v>4</v>
      </c>
      <c r="C13" s="1" t="s">
        <v>48</v>
      </c>
    </row>
    <row r="14" spans="1:4" s="3" customFormat="1" x14ac:dyDescent="0.25">
      <c r="A14" s="3">
        <v>177</v>
      </c>
      <c r="B14" s="3">
        <v>4</v>
      </c>
      <c r="C14" s="3" t="s">
        <v>42</v>
      </c>
    </row>
    <row r="15" spans="1:4" x14ac:dyDescent="0.25">
      <c r="A15">
        <v>191</v>
      </c>
      <c r="B15">
        <v>6</v>
      </c>
      <c r="C15" t="s">
        <v>40</v>
      </c>
      <c r="D15">
        <f>INDEX(ListTrans!A:Z,3,10)</f>
        <v>0</v>
      </c>
    </row>
    <row r="16" spans="1:4" x14ac:dyDescent="0.25">
      <c r="A16">
        <v>271</v>
      </c>
      <c r="B16">
        <v>6</v>
      </c>
      <c r="C16" t="s">
        <v>2</v>
      </c>
      <c r="D16">
        <f>INDEX(ListTrans!A:Z,3,5)</f>
        <v>50</v>
      </c>
    </row>
    <row r="17" spans="1:4" x14ac:dyDescent="0.25">
      <c r="A17">
        <v>275</v>
      </c>
      <c r="B17">
        <v>6</v>
      </c>
      <c r="C17" t="s">
        <v>3</v>
      </c>
      <c r="D17">
        <f>INDEX(ListTrans!A:Z,3,6)</f>
        <v>90</v>
      </c>
    </row>
    <row r="18" spans="1:4" x14ac:dyDescent="0.25">
      <c r="A18">
        <v>279</v>
      </c>
      <c r="B18">
        <v>6</v>
      </c>
      <c r="C18" t="s">
        <v>4</v>
      </c>
      <c r="D18">
        <f>INDEX(ListTrans!A:Z,3,7)</f>
        <v>150</v>
      </c>
    </row>
    <row r="19" spans="1:4" x14ac:dyDescent="0.25">
      <c r="A19">
        <v>283</v>
      </c>
      <c r="B19">
        <v>6</v>
      </c>
      <c r="C19" t="s">
        <v>5</v>
      </c>
      <c r="D19">
        <f>INDEX(ListTrans!A:Z,3,8)</f>
        <v>30</v>
      </c>
    </row>
    <row r="20" spans="1:4" x14ac:dyDescent="0.25">
      <c r="A20">
        <v>322</v>
      </c>
      <c r="B20">
        <v>6</v>
      </c>
      <c r="C20" t="s">
        <v>1</v>
      </c>
      <c r="D20" t="str">
        <f>INDEX(ListTrans!A:Z,3,9)</f>
        <v>Motor02 [%5.2f RPM]</v>
      </c>
    </row>
    <row r="21" spans="1:4" x14ac:dyDescent="0.25">
      <c r="A21">
        <v>334</v>
      </c>
      <c r="B21">
        <v>6</v>
      </c>
      <c r="C21" t="s">
        <v>0</v>
      </c>
      <c r="D21" t="str">
        <f>INDEX(ListTrans!A:Z,3,11)</f>
        <v>GVL.InstallationA.Device01.Motors[  2].Speed</v>
      </c>
    </row>
    <row r="22" spans="1:4" x14ac:dyDescent="0.25">
      <c r="A22">
        <v>324</v>
      </c>
      <c r="B22">
        <v>4</v>
      </c>
      <c r="C22" t="s">
        <v>17</v>
      </c>
    </row>
    <row r="23" spans="1:4" x14ac:dyDescent="0.25">
      <c r="A23">
        <v>327</v>
      </c>
      <c r="B23">
        <v>4</v>
      </c>
      <c r="C23" t="s">
        <v>49</v>
      </c>
    </row>
    <row r="24" spans="1:4" s="1" customFormat="1" x14ac:dyDescent="0.25">
      <c r="A24" s="1">
        <v>335</v>
      </c>
      <c r="B24" s="1">
        <v>4</v>
      </c>
      <c r="C24" s="1" t="s">
        <v>50</v>
      </c>
    </row>
    <row r="25" spans="1:4" s="3" customFormat="1" x14ac:dyDescent="0.25">
      <c r="A25" s="3">
        <v>339</v>
      </c>
      <c r="B25" s="3">
        <v>4</v>
      </c>
      <c r="C25" s="3" t="s">
        <v>42</v>
      </c>
    </row>
    <row r="26" spans="1:4" x14ac:dyDescent="0.25">
      <c r="A26">
        <v>360</v>
      </c>
      <c r="B26">
        <v>6</v>
      </c>
      <c r="C26" t="s">
        <v>40</v>
      </c>
      <c r="D26">
        <f>INDEX(ListTrans!A:Z,4,10)</f>
        <v>0</v>
      </c>
    </row>
    <row r="27" spans="1:4" x14ac:dyDescent="0.25">
      <c r="A27">
        <v>440</v>
      </c>
      <c r="B27">
        <v>6</v>
      </c>
      <c r="C27" t="s">
        <v>2</v>
      </c>
      <c r="D27">
        <f>INDEX(ListTrans!A:Z,4,5)</f>
        <v>50</v>
      </c>
    </row>
    <row r="28" spans="1:4" x14ac:dyDescent="0.25">
      <c r="A28">
        <v>444</v>
      </c>
      <c r="B28">
        <v>6</v>
      </c>
      <c r="C28" t="s">
        <v>3</v>
      </c>
      <c r="D28">
        <f>INDEX(ListTrans!A:Z,4,6)</f>
        <v>130</v>
      </c>
    </row>
    <row r="29" spans="1:4" x14ac:dyDescent="0.25">
      <c r="A29">
        <v>448</v>
      </c>
      <c r="B29">
        <v>6</v>
      </c>
      <c r="C29" t="s">
        <v>4</v>
      </c>
      <c r="D29">
        <f>INDEX(ListTrans!A:Z,4,7)</f>
        <v>150</v>
      </c>
    </row>
    <row r="30" spans="1:4" x14ac:dyDescent="0.25">
      <c r="A30">
        <v>452</v>
      </c>
      <c r="B30">
        <v>6</v>
      </c>
      <c r="C30" t="s">
        <v>5</v>
      </c>
      <c r="D30">
        <f>INDEX(ListTrans!A:Z,4,8)</f>
        <v>30</v>
      </c>
    </row>
    <row r="31" spans="1:4" x14ac:dyDescent="0.25">
      <c r="A31">
        <v>491</v>
      </c>
      <c r="B31">
        <v>6</v>
      </c>
      <c r="C31" t="s">
        <v>1</v>
      </c>
      <c r="D31" t="str">
        <f>INDEX(ListTrans!A:Z,4,9)</f>
        <v>Motor03 [%5.2f RPM]</v>
      </c>
    </row>
    <row r="32" spans="1:4" x14ac:dyDescent="0.25">
      <c r="A32">
        <v>503</v>
      </c>
      <c r="B32">
        <v>6</v>
      </c>
      <c r="C32" t="s">
        <v>0</v>
      </c>
      <c r="D32" t="str">
        <f>INDEX(ListTrans!A:Z,4,11)</f>
        <v>GVL.InstallationA.Device01.Motors[  3].Speed</v>
      </c>
    </row>
    <row r="33" spans="1:4" x14ac:dyDescent="0.25">
      <c r="A33">
        <v>486</v>
      </c>
      <c r="B33">
        <v>4</v>
      </c>
      <c r="C33" t="s">
        <v>17</v>
      </c>
    </row>
    <row r="34" spans="1:4" x14ac:dyDescent="0.25">
      <c r="A34">
        <v>489</v>
      </c>
      <c r="B34">
        <v>4</v>
      </c>
      <c r="C34" t="s">
        <v>51</v>
      </c>
    </row>
    <row r="35" spans="1:4" s="1" customFormat="1" x14ac:dyDescent="0.25">
      <c r="A35" s="1">
        <v>497</v>
      </c>
      <c r="B35" s="1">
        <v>4</v>
      </c>
      <c r="C35" s="1" t="s">
        <v>52</v>
      </c>
    </row>
    <row r="36" spans="1:4" s="3" customFormat="1" x14ac:dyDescent="0.25">
      <c r="A36" s="3">
        <v>501</v>
      </c>
      <c r="B36" s="3">
        <v>4</v>
      </c>
      <c r="C36" s="3" t="s">
        <v>42</v>
      </c>
    </row>
    <row r="37" spans="1:4" x14ac:dyDescent="0.25">
      <c r="A37">
        <v>529</v>
      </c>
      <c r="B37">
        <v>6</v>
      </c>
      <c r="C37" t="s">
        <v>40</v>
      </c>
      <c r="D37">
        <f>INDEX(ListTrans!A:Z,5,10)</f>
        <v>0</v>
      </c>
    </row>
    <row r="38" spans="1:4" x14ac:dyDescent="0.25">
      <c r="A38">
        <v>609</v>
      </c>
      <c r="B38">
        <v>6</v>
      </c>
      <c r="C38" t="s">
        <v>2</v>
      </c>
      <c r="D38">
        <f>INDEX(ListTrans!A:Z,5,5)</f>
        <v>50</v>
      </c>
    </row>
    <row r="39" spans="1:4" x14ac:dyDescent="0.25">
      <c r="A39">
        <v>613</v>
      </c>
      <c r="B39">
        <v>6</v>
      </c>
      <c r="C39" t="s">
        <v>3</v>
      </c>
      <c r="D39">
        <f>INDEX(ListTrans!A:Z,5,6)</f>
        <v>170</v>
      </c>
    </row>
    <row r="40" spans="1:4" x14ac:dyDescent="0.25">
      <c r="A40">
        <v>617</v>
      </c>
      <c r="B40">
        <v>6</v>
      </c>
      <c r="C40" t="s">
        <v>4</v>
      </c>
      <c r="D40">
        <f>INDEX(ListTrans!A:Z,5,7)</f>
        <v>150</v>
      </c>
    </row>
    <row r="41" spans="1:4" x14ac:dyDescent="0.25">
      <c r="A41">
        <v>621</v>
      </c>
      <c r="B41">
        <v>6</v>
      </c>
      <c r="C41" t="s">
        <v>5</v>
      </c>
      <c r="D41">
        <f>INDEX(ListTrans!A:Z,5,8)</f>
        <v>30</v>
      </c>
    </row>
    <row r="42" spans="1:4" x14ac:dyDescent="0.25">
      <c r="A42">
        <v>660</v>
      </c>
      <c r="B42">
        <v>6</v>
      </c>
      <c r="C42" t="s">
        <v>1</v>
      </c>
      <c r="D42" t="str">
        <f>INDEX(ListTrans!A:Z,5,9)</f>
        <v>Motor04 [%5.2f RPM]</v>
      </c>
    </row>
    <row r="43" spans="1:4" x14ac:dyDescent="0.25">
      <c r="A43">
        <v>672</v>
      </c>
      <c r="B43">
        <v>6</v>
      </c>
      <c r="C43" t="s">
        <v>0</v>
      </c>
      <c r="D43" t="str">
        <f>INDEX(ListTrans!A:Z,5,11)</f>
        <v>GVL.InstallationA.Device01.Motors[  4].Speed</v>
      </c>
    </row>
    <row r="44" spans="1:4" x14ac:dyDescent="0.25">
      <c r="A44">
        <v>648</v>
      </c>
      <c r="B44">
        <v>4</v>
      </c>
      <c r="C44" t="s">
        <v>17</v>
      </c>
    </row>
    <row r="45" spans="1:4" x14ac:dyDescent="0.25">
      <c r="A45">
        <v>651</v>
      </c>
      <c r="B45">
        <v>4</v>
      </c>
      <c r="C45" t="s">
        <v>53</v>
      </c>
    </row>
    <row r="46" spans="1:4" s="1" customFormat="1" x14ac:dyDescent="0.25">
      <c r="A46" s="1">
        <v>659</v>
      </c>
      <c r="B46" s="1">
        <v>4</v>
      </c>
      <c r="C46" s="1" t="s">
        <v>54</v>
      </c>
    </row>
    <row r="47" spans="1:4" s="3" customFormat="1" x14ac:dyDescent="0.25">
      <c r="A47" s="3">
        <v>663</v>
      </c>
      <c r="B47" s="3">
        <v>4</v>
      </c>
      <c r="C47" s="3" t="s">
        <v>42</v>
      </c>
    </row>
    <row r="48" spans="1:4" x14ac:dyDescent="0.25">
      <c r="A48">
        <v>698</v>
      </c>
      <c r="B48">
        <v>6</v>
      </c>
      <c r="C48" t="s">
        <v>40</v>
      </c>
      <c r="D48">
        <f>INDEX(ListTrans!A:Z,6,10)</f>
        <v>0</v>
      </c>
    </row>
    <row r="49" spans="1:4" x14ac:dyDescent="0.25">
      <c r="A49">
        <v>778</v>
      </c>
      <c r="B49">
        <v>6</v>
      </c>
      <c r="C49" t="s">
        <v>2</v>
      </c>
      <c r="D49">
        <f>INDEX(ListTrans!A:Z,6,5)</f>
        <v>50</v>
      </c>
    </row>
    <row r="50" spans="1:4" x14ac:dyDescent="0.25">
      <c r="A50">
        <v>782</v>
      </c>
      <c r="B50">
        <v>6</v>
      </c>
      <c r="C50" t="s">
        <v>3</v>
      </c>
      <c r="D50">
        <f>INDEX(ListTrans!A:Z,6,6)</f>
        <v>210</v>
      </c>
    </row>
    <row r="51" spans="1:4" x14ac:dyDescent="0.25">
      <c r="A51">
        <v>786</v>
      </c>
      <c r="B51">
        <v>6</v>
      </c>
      <c r="C51" t="s">
        <v>4</v>
      </c>
      <c r="D51">
        <f>INDEX(ListTrans!A:Z,6,7)</f>
        <v>150</v>
      </c>
    </row>
    <row r="52" spans="1:4" x14ac:dyDescent="0.25">
      <c r="A52">
        <v>790</v>
      </c>
      <c r="B52">
        <v>6</v>
      </c>
      <c r="C52" t="s">
        <v>5</v>
      </c>
      <c r="D52">
        <f>INDEX(ListTrans!A:Z,6,8)</f>
        <v>30</v>
      </c>
    </row>
    <row r="53" spans="1:4" x14ac:dyDescent="0.25">
      <c r="A53">
        <v>829</v>
      </c>
      <c r="B53">
        <v>6</v>
      </c>
      <c r="C53" t="s">
        <v>1</v>
      </c>
      <c r="D53" t="str">
        <f>INDEX(ListTrans!A:Z,6,9)</f>
        <v>Motor05 [%5.2f RPM]</v>
      </c>
    </row>
    <row r="54" spans="1:4" x14ac:dyDescent="0.25">
      <c r="A54">
        <v>841</v>
      </c>
      <c r="B54">
        <v>6</v>
      </c>
      <c r="C54" t="s">
        <v>0</v>
      </c>
      <c r="D54" t="str">
        <f>INDEX(ListTrans!A:Z,6,11)</f>
        <v>GVL.InstallationA.Device01.Motors[  5].Speed</v>
      </c>
    </row>
    <row r="55" spans="1:4" x14ac:dyDescent="0.25">
      <c r="A55">
        <v>810</v>
      </c>
      <c r="B55">
        <v>4</v>
      </c>
      <c r="C55" t="s">
        <v>17</v>
      </c>
    </row>
    <row r="56" spans="1:4" x14ac:dyDescent="0.25">
      <c r="A56">
        <v>813</v>
      </c>
      <c r="B56">
        <v>4</v>
      </c>
      <c r="C56" t="s">
        <v>55</v>
      </c>
    </row>
    <row r="57" spans="1:4" s="1" customFormat="1" x14ac:dyDescent="0.25">
      <c r="A57" s="1">
        <v>821</v>
      </c>
      <c r="B57" s="1">
        <v>4</v>
      </c>
      <c r="C57" s="1" t="s">
        <v>56</v>
      </c>
    </row>
    <row r="58" spans="1:4" s="3" customFormat="1" x14ac:dyDescent="0.25">
      <c r="A58" s="3">
        <v>825</v>
      </c>
      <c r="B58" s="3">
        <v>4</v>
      </c>
      <c r="C58" s="3" t="s">
        <v>42</v>
      </c>
    </row>
    <row r="59" spans="1:4" x14ac:dyDescent="0.25">
      <c r="A59">
        <v>867</v>
      </c>
      <c r="B59">
        <v>6</v>
      </c>
      <c r="C59" t="s">
        <v>40</v>
      </c>
      <c r="D59">
        <f>INDEX(ListTrans!A:Z,7,10)</f>
        <v>0</v>
      </c>
    </row>
    <row r="60" spans="1:4" x14ac:dyDescent="0.25">
      <c r="A60">
        <v>947</v>
      </c>
      <c r="B60">
        <v>6</v>
      </c>
      <c r="C60" t="s">
        <v>2</v>
      </c>
      <c r="D60">
        <f>INDEX(ListTrans!A:Z,7,5)</f>
        <v>50</v>
      </c>
    </row>
    <row r="61" spans="1:4" x14ac:dyDescent="0.25">
      <c r="A61">
        <v>951</v>
      </c>
      <c r="B61">
        <v>6</v>
      </c>
      <c r="C61" t="s">
        <v>3</v>
      </c>
      <c r="D61">
        <f>INDEX(ListTrans!A:Z,7,6)</f>
        <v>250</v>
      </c>
    </row>
    <row r="62" spans="1:4" x14ac:dyDescent="0.25">
      <c r="A62">
        <v>955</v>
      </c>
      <c r="B62">
        <v>6</v>
      </c>
      <c r="C62" t="s">
        <v>4</v>
      </c>
      <c r="D62">
        <f>INDEX(ListTrans!A:Z,7,7)</f>
        <v>150</v>
      </c>
    </row>
    <row r="63" spans="1:4" x14ac:dyDescent="0.25">
      <c r="A63">
        <v>959</v>
      </c>
      <c r="B63">
        <v>6</v>
      </c>
      <c r="C63" t="s">
        <v>5</v>
      </c>
      <c r="D63">
        <f>INDEX(ListTrans!A:Z,7,8)</f>
        <v>30</v>
      </c>
    </row>
    <row r="64" spans="1:4" x14ac:dyDescent="0.25">
      <c r="A64">
        <v>998</v>
      </c>
      <c r="B64">
        <v>6</v>
      </c>
      <c r="C64" t="s">
        <v>1</v>
      </c>
      <c r="D64" t="str">
        <f>INDEX(ListTrans!A:Z,7,9)</f>
        <v>Motor06 [%5.2f RPM]</v>
      </c>
    </row>
    <row r="65" spans="1:4" x14ac:dyDescent="0.25">
      <c r="A65">
        <v>1010</v>
      </c>
      <c r="B65">
        <v>6</v>
      </c>
      <c r="C65" t="s">
        <v>0</v>
      </c>
      <c r="D65" t="str">
        <f>INDEX(ListTrans!A:Z,7,11)</f>
        <v>GVL.InstallationA.Device01.Motors[  6].Speed</v>
      </c>
    </row>
    <row r="66" spans="1:4" x14ac:dyDescent="0.25">
      <c r="A66">
        <v>972</v>
      </c>
      <c r="B66">
        <v>4</v>
      </c>
      <c r="C66" t="s">
        <v>17</v>
      </c>
    </row>
    <row r="67" spans="1:4" x14ac:dyDescent="0.25">
      <c r="A67">
        <v>975</v>
      </c>
      <c r="B67">
        <v>4</v>
      </c>
      <c r="C67" t="s">
        <v>57</v>
      </c>
    </row>
    <row r="68" spans="1:4" s="1" customFormat="1" x14ac:dyDescent="0.25">
      <c r="A68" s="1">
        <v>983</v>
      </c>
      <c r="B68" s="1">
        <v>4</v>
      </c>
      <c r="C68" s="1" t="s">
        <v>58</v>
      </c>
    </row>
    <row r="69" spans="1:4" s="3" customFormat="1" x14ac:dyDescent="0.25">
      <c r="A69" s="3">
        <v>987</v>
      </c>
      <c r="B69" s="3">
        <v>4</v>
      </c>
      <c r="C69" s="3" t="s">
        <v>42</v>
      </c>
    </row>
    <row r="70" spans="1:4" x14ac:dyDescent="0.25">
      <c r="A70">
        <v>1036</v>
      </c>
      <c r="B70">
        <v>6</v>
      </c>
      <c r="C70" t="s">
        <v>40</v>
      </c>
      <c r="D70">
        <f>INDEX(ListTrans!A:Z,8,10)</f>
        <v>0</v>
      </c>
    </row>
    <row r="71" spans="1:4" x14ac:dyDescent="0.25">
      <c r="A71">
        <v>1116</v>
      </c>
      <c r="B71">
        <v>6</v>
      </c>
      <c r="C71" t="s">
        <v>2</v>
      </c>
      <c r="D71">
        <f>INDEX(ListTrans!A:Z,8,5)</f>
        <v>50</v>
      </c>
    </row>
    <row r="72" spans="1:4" x14ac:dyDescent="0.25">
      <c r="A72">
        <v>1120</v>
      </c>
      <c r="B72">
        <v>6</v>
      </c>
      <c r="C72" t="s">
        <v>3</v>
      </c>
      <c r="D72">
        <f>INDEX(ListTrans!A:Z,8,6)</f>
        <v>290</v>
      </c>
    </row>
    <row r="73" spans="1:4" x14ac:dyDescent="0.25">
      <c r="A73">
        <v>1124</v>
      </c>
      <c r="B73">
        <v>6</v>
      </c>
      <c r="C73" t="s">
        <v>4</v>
      </c>
      <c r="D73">
        <f>INDEX(ListTrans!A:Z,8,7)</f>
        <v>150</v>
      </c>
    </row>
    <row r="74" spans="1:4" x14ac:dyDescent="0.25">
      <c r="A74">
        <v>1128</v>
      </c>
      <c r="B74">
        <v>6</v>
      </c>
      <c r="C74" t="s">
        <v>5</v>
      </c>
      <c r="D74">
        <f>INDEX(ListTrans!A:Z,8,8)</f>
        <v>30</v>
      </c>
    </row>
    <row r="75" spans="1:4" x14ac:dyDescent="0.25">
      <c r="A75">
        <v>1167</v>
      </c>
      <c r="B75">
        <v>6</v>
      </c>
      <c r="C75" t="s">
        <v>1</v>
      </c>
      <c r="D75" t="str">
        <f>INDEX(ListTrans!A:Z,8,9)</f>
        <v>Motor07 [%5.2f RPM]</v>
      </c>
    </row>
    <row r="76" spans="1:4" x14ac:dyDescent="0.25">
      <c r="A76">
        <v>1179</v>
      </c>
      <c r="B76">
        <v>6</v>
      </c>
      <c r="C76" t="s">
        <v>0</v>
      </c>
      <c r="D76" t="str">
        <f>INDEX(ListTrans!A:Z,8,11)</f>
        <v>GVL.InstallationA.Device01.Motors[  7].Speed</v>
      </c>
    </row>
    <row r="77" spans="1:4" x14ac:dyDescent="0.25">
      <c r="A77">
        <v>1134</v>
      </c>
      <c r="B77">
        <v>4</v>
      </c>
      <c r="C77" t="s">
        <v>17</v>
      </c>
    </row>
    <row r="78" spans="1:4" x14ac:dyDescent="0.25">
      <c r="A78">
        <v>1137</v>
      </c>
      <c r="B78">
        <v>4</v>
      </c>
      <c r="C78" t="s">
        <v>59</v>
      </c>
    </row>
    <row r="79" spans="1:4" s="1" customFormat="1" x14ac:dyDescent="0.25">
      <c r="A79" s="1">
        <v>1145</v>
      </c>
      <c r="B79" s="1">
        <v>4</v>
      </c>
      <c r="C79" s="1" t="s">
        <v>60</v>
      </c>
    </row>
    <row r="80" spans="1:4" s="3" customFormat="1" x14ac:dyDescent="0.25">
      <c r="A80" s="3">
        <v>1149</v>
      </c>
      <c r="B80" s="3">
        <v>4</v>
      </c>
      <c r="C80" s="3" t="s">
        <v>42</v>
      </c>
    </row>
    <row r="81" spans="1:4" x14ac:dyDescent="0.25">
      <c r="A81">
        <v>1205</v>
      </c>
      <c r="B81">
        <v>6</v>
      </c>
      <c r="C81" t="s">
        <v>40</v>
      </c>
      <c r="D81">
        <f>INDEX(ListTrans!A:Z,9,10)</f>
        <v>0</v>
      </c>
    </row>
    <row r="82" spans="1:4" x14ac:dyDescent="0.25">
      <c r="A82">
        <v>1285</v>
      </c>
      <c r="B82">
        <v>6</v>
      </c>
      <c r="C82" t="s">
        <v>2</v>
      </c>
      <c r="D82">
        <f>INDEX(ListTrans!A:Z,9,5)</f>
        <v>50</v>
      </c>
    </row>
    <row r="83" spans="1:4" x14ac:dyDescent="0.25">
      <c r="A83">
        <v>1289</v>
      </c>
      <c r="B83">
        <v>6</v>
      </c>
      <c r="C83" t="s">
        <v>3</v>
      </c>
      <c r="D83">
        <f>INDEX(ListTrans!A:Z,9,6)</f>
        <v>330</v>
      </c>
    </row>
    <row r="84" spans="1:4" x14ac:dyDescent="0.25">
      <c r="A84">
        <v>1293</v>
      </c>
      <c r="B84">
        <v>6</v>
      </c>
      <c r="C84" t="s">
        <v>4</v>
      </c>
      <c r="D84">
        <f>INDEX(ListTrans!A:Z,9,7)</f>
        <v>150</v>
      </c>
    </row>
    <row r="85" spans="1:4" x14ac:dyDescent="0.25">
      <c r="A85">
        <v>1297</v>
      </c>
      <c r="B85">
        <v>6</v>
      </c>
      <c r="C85" t="s">
        <v>5</v>
      </c>
      <c r="D85">
        <f>INDEX(ListTrans!A:Z,9,8)</f>
        <v>30</v>
      </c>
    </row>
    <row r="86" spans="1:4" x14ac:dyDescent="0.25">
      <c r="A86">
        <v>1336</v>
      </c>
      <c r="B86">
        <v>6</v>
      </c>
      <c r="C86" t="s">
        <v>1</v>
      </c>
      <c r="D86" t="str">
        <f>INDEX(ListTrans!A:Z,9,9)</f>
        <v>Motor08 [%5.2f RPM]</v>
      </c>
    </row>
    <row r="87" spans="1:4" x14ac:dyDescent="0.25">
      <c r="A87">
        <v>1348</v>
      </c>
      <c r="B87">
        <v>6</v>
      </c>
      <c r="C87" t="s">
        <v>0</v>
      </c>
      <c r="D87" t="str">
        <f>INDEX(ListTrans!A:Z,9,11)</f>
        <v>GVL.InstallationA.Device01.Motors[  8].Speed</v>
      </c>
    </row>
    <row r="88" spans="1:4" x14ac:dyDescent="0.25">
      <c r="A88">
        <v>1296</v>
      </c>
      <c r="B88">
        <v>4</v>
      </c>
      <c r="C88" t="s">
        <v>17</v>
      </c>
    </row>
    <row r="89" spans="1:4" x14ac:dyDescent="0.25">
      <c r="A89">
        <v>1299</v>
      </c>
      <c r="B89">
        <v>4</v>
      </c>
      <c r="C89" t="s">
        <v>61</v>
      </c>
    </row>
    <row r="90" spans="1:4" s="1" customFormat="1" x14ac:dyDescent="0.25">
      <c r="A90" s="1">
        <v>1307</v>
      </c>
      <c r="B90" s="1">
        <v>4</v>
      </c>
      <c r="C90" s="1" t="s">
        <v>62</v>
      </c>
    </row>
    <row r="91" spans="1:4" s="3" customFormat="1" x14ac:dyDescent="0.25">
      <c r="A91" s="3">
        <v>1311</v>
      </c>
      <c r="B91" s="3">
        <v>4</v>
      </c>
      <c r="C91" s="3" t="s">
        <v>42</v>
      </c>
    </row>
    <row r="92" spans="1:4" x14ac:dyDescent="0.25">
      <c r="A92">
        <v>1374</v>
      </c>
      <c r="B92">
        <v>6</v>
      </c>
      <c r="C92" t="s">
        <v>40</v>
      </c>
      <c r="D92">
        <f>INDEX(ListTrans!A:Z,10,10)</f>
        <v>0</v>
      </c>
    </row>
    <row r="93" spans="1:4" x14ac:dyDescent="0.25">
      <c r="A93">
        <v>1454</v>
      </c>
      <c r="B93">
        <v>6</v>
      </c>
      <c r="C93" t="s">
        <v>2</v>
      </c>
      <c r="D93">
        <f>INDEX(ListTrans!A:Z,10,5)</f>
        <v>250</v>
      </c>
    </row>
    <row r="94" spans="1:4" x14ac:dyDescent="0.25">
      <c r="A94">
        <v>1458</v>
      </c>
      <c r="B94">
        <v>6</v>
      </c>
      <c r="C94" t="s">
        <v>3</v>
      </c>
      <c r="D94">
        <f>INDEX(ListTrans!A:Z,10,6)</f>
        <v>50</v>
      </c>
    </row>
    <row r="95" spans="1:4" x14ac:dyDescent="0.25">
      <c r="A95">
        <v>1462</v>
      </c>
      <c r="B95">
        <v>6</v>
      </c>
      <c r="C95" t="s">
        <v>4</v>
      </c>
      <c r="D95">
        <f>INDEX(ListTrans!A:Z,10,7)</f>
        <v>150</v>
      </c>
    </row>
    <row r="96" spans="1:4" x14ac:dyDescent="0.25">
      <c r="A96">
        <v>1466</v>
      </c>
      <c r="B96">
        <v>6</v>
      </c>
      <c r="C96" t="s">
        <v>5</v>
      </c>
      <c r="D96">
        <f>INDEX(ListTrans!A:Z,10,8)</f>
        <v>30</v>
      </c>
    </row>
    <row r="97" spans="1:4" x14ac:dyDescent="0.25">
      <c r="A97">
        <v>1505</v>
      </c>
      <c r="B97">
        <v>6</v>
      </c>
      <c r="C97" t="s">
        <v>1</v>
      </c>
      <c r="D97" t="str">
        <f>INDEX(ListTrans!A:Z,10,9)</f>
        <v>Motor09 [%5.2f RPM]</v>
      </c>
    </row>
    <row r="98" spans="1:4" x14ac:dyDescent="0.25">
      <c r="A98">
        <v>1517</v>
      </c>
      <c r="B98">
        <v>6</v>
      </c>
      <c r="C98" t="s">
        <v>0</v>
      </c>
      <c r="D98" t="str">
        <f>INDEX(ListTrans!A:Z,10,11)</f>
        <v>GVL.InstallationA.Device01.Motors[  9].Speed</v>
      </c>
    </row>
    <row r="99" spans="1:4" x14ac:dyDescent="0.25">
      <c r="A99">
        <v>1458</v>
      </c>
      <c r="B99">
        <v>4</v>
      </c>
      <c r="C99" t="s">
        <v>17</v>
      </c>
    </row>
    <row r="100" spans="1:4" x14ac:dyDescent="0.25">
      <c r="A100">
        <v>1461</v>
      </c>
      <c r="B100">
        <v>4</v>
      </c>
      <c r="C100" t="s">
        <v>63</v>
      </c>
    </row>
    <row r="101" spans="1:4" s="1" customFormat="1" x14ac:dyDescent="0.25">
      <c r="A101" s="1">
        <v>1469</v>
      </c>
      <c r="B101" s="1">
        <v>4</v>
      </c>
      <c r="C101" s="1" t="s">
        <v>64</v>
      </c>
    </row>
    <row r="102" spans="1:4" s="3" customFormat="1" x14ac:dyDescent="0.25">
      <c r="A102" s="3">
        <v>1473</v>
      </c>
      <c r="B102" s="3">
        <v>4</v>
      </c>
      <c r="C102" s="3" t="s">
        <v>42</v>
      </c>
    </row>
    <row r="103" spans="1:4" x14ac:dyDescent="0.25">
      <c r="A103">
        <v>1543</v>
      </c>
      <c r="B103">
        <v>6</v>
      </c>
      <c r="C103" t="s">
        <v>40</v>
      </c>
      <c r="D103">
        <f>INDEX(ListTrans!A:Z,11,10)</f>
        <v>0</v>
      </c>
    </row>
    <row r="104" spans="1:4" x14ac:dyDescent="0.25">
      <c r="A104">
        <v>1623</v>
      </c>
      <c r="B104">
        <v>6</v>
      </c>
      <c r="C104" t="s">
        <v>2</v>
      </c>
      <c r="D104">
        <f>INDEX(ListTrans!A:Z,11,5)</f>
        <v>250</v>
      </c>
    </row>
    <row r="105" spans="1:4" x14ac:dyDescent="0.25">
      <c r="A105">
        <v>1627</v>
      </c>
      <c r="B105">
        <v>6</v>
      </c>
      <c r="C105" t="s">
        <v>3</v>
      </c>
      <c r="D105">
        <f>INDEX(ListTrans!A:Z,11,6)</f>
        <v>90</v>
      </c>
    </row>
    <row r="106" spans="1:4" x14ac:dyDescent="0.25">
      <c r="A106">
        <v>1631</v>
      </c>
      <c r="B106">
        <v>6</v>
      </c>
      <c r="C106" t="s">
        <v>4</v>
      </c>
      <c r="D106">
        <f>INDEX(ListTrans!A:Z,11,7)</f>
        <v>150</v>
      </c>
    </row>
    <row r="107" spans="1:4" x14ac:dyDescent="0.25">
      <c r="A107">
        <v>1635</v>
      </c>
      <c r="B107">
        <v>6</v>
      </c>
      <c r="C107" t="s">
        <v>5</v>
      </c>
      <c r="D107">
        <f>INDEX(ListTrans!A:Z,11,8)</f>
        <v>30</v>
      </c>
    </row>
    <row r="108" spans="1:4" x14ac:dyDescent="0.25">
      <c r="A108">
        <v>1674</v>
      </c>
      <c r="B108">
        <v>6</v>
      </c>
      <c r="C108" t="s">
        <v>1</v>
      </c>
      <c r="D108" t="str">
        <f>INDEX(ListTrans!A:Z,11,9)</f>
        <v>Motor10 [%5.2f RPM]</v>
      </c>
    </row>
    <row r="109" spans="1:4" x14ac:dyDescent="0.25">
      <c r="A109">
        <v>1686</v>
      </c>
      <c r="B109">
        <v>6</v>
      </c>
      <c r="C109" t="s">
        <v>0</v>
      </c>
      <c r="D109" t="str">
        <f>INDEX(ListTrans!A:Z,11,11)</f>
        <v>GVL.InstallationA.Device01.Motors[ 10].Speed</v>
      </c>
    </row>
    <row r="110" spans="1:4" x14ac:dyDescent="0.25">
      <c r="A110">
        <v>1620</v>
      </c>
      <c r="B110">
        <v>4</v>
      </c>
      <c r="C110" t="s">
        <v>17</v>
      </c>
    </row>
    <row r="111" spans="1:4" x14ac:dyDescent="0.25">
      <c r="A111">
        <v>1623</v>
      </c>
      <c r="B111">
        <v>4</v>
      </c>
      <c r="C111" t="s">
        <v>65</v>
      </c>
    </row>
    <row r="112" spans="1:4" s="1" customFormat="1" x14ac:dyDescent="0.25">
      <c r="A112" s="1">
        <v>1631</v>
      </c>
      <c r="B112" s="1">
        <v>4</v>
      </c>
      <c r="C112" s="1" t="s">
        <v>66</v>
      </c>
    </row>
    <row r="113" spans="1:4" s="3" customFormat="1" x14ac:dyDescent="0.25">
      <c r="A113" s="3">
        <v>1635</v>
      </c>
      <c r="B113" s="3">
        <v>4</v>
      </c>
      <c r="C113" s="3" t="s">
        <v>42</v>
      </c>
    </row>
    <row r="114" spans="1:4" x14ac:dyDescent="0.25">
      <c r="A114">
        <v>1712</v>
      </c>
      <c r="B114">
        <v>6</v>
      </c>
      <c r="C114" t="s">
        <v>40</v>
      </c>
      <c r="D114">
        <f>INDEX(ListTrans!A:Z,12,10)</f>
        <v>0</v>
      </c>
    </row>
    <row r="115" spans="1:4" x14ac:dyDescent="0.25">
      <c r="A115">
        <v>1792</v>
      </c>
      <c r="B115">
        <v>6</v>
      </c>
      <c r="C115" t="s">
        <v>2</v>
      </c>
      <c r="D115">
        <f>INDEX(ListTrans!A:Z,12,5)</f>
        <v>250</v>
      </c>
    </row>
    <row r="116" spans="1:4" x14ac:dyDescent="0.25">
      <c r="A116">
        <v>1796</v>
      </c>
      <c r="B116">
        <v>6</v>
      </c>
      <c r="C116" t="s">
        <v>3</v>
      </c>
      <c r="D116">
        <f>INDEX(ListTrans!A:Z,12,6)</f>
        <v>130</v>
      </c>
    </row>
    <row r="117" spans="1:4" x14ac:dyDescent="0.25">
      <c r="A117">
        <v>1800</v>
      </c>
      <c r="B117">
        <v>6</v>
      </c>
      <c r="C117" t="s">
        <v>4</v>
      </c>
      <c r="D117">
        <f>INDEX(ListTrans!A:Z,12,7)</f>
        <v>150</v>
      </c>
    </row>
    <row r="118" spans="1:4" x14ac:dyDescent="0.25">
      <c r="A118">
        <v>1804</v>
      </c>
      <c r="B118">
        <v>6</v>
      </c>
      <c r="C118" t="s">
        <v>5</v>
      </c>
      <c r="D118">
        <f>INDEX(ListTrans!A:Z,12,8)</f>
        <v>30</v>
      </c>
    </row>
    <row r="119" spans="1:4" x14ac:dyDescent="0.25">
      <c r="A119">
        <v>1843</v>
      </c>
      <c r="B119">
        <v>6</v>
      </c>
      <c r="C119" t="s">
        <v>1</v>
      </c>
      <c r="D119" t="str">
        <f>INDEX(ListTrans!A:Z,12,9)</f>
        <v>Motor11 [%5.2f RPM]</v>
      </c>
    </row>
    <row r="120" spans="1:4" x14ac:dyDescent="0.25">
      <c r="A120">
        <v>1855</v>
      </c>
      <c r="B120">
        <v>6</v>
      </c>
      <c r="C120" t="s">
        <v>0</v>
      </c>
      <c r="D120" t="str">
        <f>INDEX(ListTrans!A:Z,12,11)</f>
        <v>GVL.InstallationA.Device01.Motors[ 11].Speed</v>
      </c>
    </row>
    <row r="121" spans="1:4" x14ac:dyDescent="0.25">
      <c r="A121">
        <v>1782</v>
      </c>
      <c r="B121">
        <v>4</v>
      </c>
      <c r="C121" t="s">
        <v>17</v>
      </c>
    </row>
    <row r="122" spans="1:4" x14ac:dyDescent="0.25">
      <c r="A122">
        <v>1785</v>
      </c>
      <c r="B122">
        <v>4</v>
      </c>
      <c r="C122" t="s">
        <v>67</v>
      </c>
    </row>
    <row r="123" spans="1:4" s="1" customFormat="1" x14ac:dyDescent="0.25">
      <c r="A123" s="1">
        <v>1793</v>
      </c>
      <c r="B123" s="1">
        <v>4</v>
      </c>
      <c r="C123" s="1" t="s">
        <v>68</v>
      </c>
    </row>
    <row r="124" spans="1:4" s="3" customFormat="1" x14ac:dyDescent="0.25">
      <c r="A124" s="3">
        <v>1797</v>
      </c>
      <c r="B124" s="3">
        <v>4</v>
      </c>
      <c r="C124" s="3" t="s">
        <v>42</v>
      </c>
    </row>
    <row r="125" spans="1:4" x14ac:dyDescent="0.25">
      <c r="A125">
        <v>1881</v>
      </c>
      <c r="B125">
        <v>6</v>
      </c>
      <c r="C125" t="s">
        <v>40</v>
      </c>
      <c r="D125">
        <f>INDEX(ListTrans!A:Z,13,10)</f>
        <v>0</v>
      </c>
    </row>
    <row r="126" spans="1:4" x14ac:dyDescent="0.25">
      <c r="A126">
        <v>1961</v>
      </c>
      <c r="B126">
        <v>6</v>
      </c>
      <c r="C126" t="s">
        <v>2</v>
      </c>
      <c r="D126">
        <f>INDEX(ListTrans!A:Z,13,5)</f>
        <v>250</v>
      </c>
    </row>
    <row r="127" spans="1:4" x14ac:dyDescent="0.25">
      <c r="A127">
        <v>1965</v>
      </c>
      <c r="B127">
        <v>6</v>
      </c>
      <c r="C127" t="s">
        <v>3</v>
      </c>
      <c r="D127">
        <f>INDEX(ListTrans!A:Z,13,6)</f>
        <v>170</v>
      </c>
    </row>
    <row r="128" spans="1:4" x14ac:dyDescent="0.25">
      <c r="A128">
        <v>1969</v>
      </c>
      <c r="B128">
        <v>6</v>
      </c>
      <c r="C128" t="s">
        <v>4</v>
      </c>
      <c r="D128">
        <f>INDEX(ListTrans!A:Z,13,7)</f>
        <v>150</v>
      </c>
    </row>
    <row r="129" spans="1:4" x14ac:dyDescent="0.25">
      <c r="A129">
        <v>1973</v>
      </c>
      <c r="B129">
        <v>6</v>
      </c>
      <c r="C129" t="s">
        <v>5</v>
      </c>
      <c r="D129">
        <f>INDEX(ListTrans!A:Z,13,8)</f>
        <v>30</v>
      </c>
    </row>
    <row r="130" spans="1:4" x14ac:dyDescent="0.25">
      <c r="A130">
        <v>2012</v>
      </c>
      <c r="B130">
        <v>6</v>
      </c>
      <c r="C130" t="s">
        <v>1</v>
      </c>
      <c r="D130" t="str">
        <f>INDEX(ListTrans!A:Z,13,9)</f>
        <v>Motor12 [%5.2f RPM]</v>
      </c>
    </row>
    <row r="131" spans="1:4" x14ac:dyDescent="0.25">
      <c r="A131">
        <v>2024</v>
      </c>
      <c r="B131">
        <v>6</v>
      </c>
      <c r="C131" t="s">
        <v>0</v>
      </c>
      <c r="D131" t="str">
        <f>INDEX(ListTrans!A:Z,13,11)</f>
        <v>GVL.InstallationA.Device01.Motors[ 12].Speed</v>
      </c>
    </row>
    <row r="132" spans="1:4" x14ac:dyDescent="0.25">
      <c r="A132">
        <v>1944</v>
      </c>
      <c r="B132">
        <v>4</v>
      </c>
      <c r="C132" t="s">
        <v>17</v>
      </c>
    </row>
    <row r="133" spans="1:4" x14ac:dyDescent="0.25">
      <c r="A133">
        <v>1947</v>
      </c>
      <c r="B133">
        <v>4</v>
      </c>
      <c r="C133" t="s">
        <v>69</v>
      </c>
    </row>
    <row r="134" spans="1:4" s="1" customFormat="1" x14ac:dyDescent="0.25">
      <c r="A134" s="1">
        <v>1955</v>
      </c>
      <c r="B134" s="1">
        <v>4</v>
      </c>
      <c r="C134" s="1" t="s">
        <v>70</v>
      </c>
    </row>
    <row r="135" spans="1:4" s="3" customFormat="1" x14ac:dyDescent="0.25">
      <c r="A135" s="3">
        <v>1959</v>
      </c>
      <c r="B135" s="3">
        <v>4</v>
      </c>
      <c r="C135" s="3" t="s">
        <v>42</v>
      </c>
    </row>
    <row r="136" spans="1:4" x14ac:dyDescent="0.25">
      <c r="A136">
        <v>2050</v>
      </c>
      <c r="B136">
        <v>6</v>
      </c>
      <c r="C136" t="s">
        <v>40</v>
      </c>
      <c r="D136">
        <f>INDEX(ListTrans!A:Z,14,10)</f>
        <v>0</v>
      </c>
    </row>
    <row r="137" spans="1:4" x14ac:dyDescent="0.25">
      <c r="A137">
        <v>2130</v>
      </c>
      <c r="B137">
        <v>6</v>
      </c>
      <c r="C137" t="s">
        <v>2</v>
      </c>
      <c r="D137">
        <f>INDEX(ListTrans!A:Z,14,5)</f>
        <v>250</v>
      </c>
    </row>
    <row r="138" spans="1:4" x14ac:dyDescent="0.25">
      <c r="A138">
        <v>2134</v>
      </c>
      <c r="B138">
        <v>6</v>
      </c>
      <c r="C138" t="s">
        <v>3</v>
      </c>
      <c r="D138">
        <f>INDEX(ListTrans!A:Z,14,6)</f>
        <v>210</v>
      </c>
    </row>
    <row r="139" spans="1:4" x14ac:dyDescent="0.25">
      <c r="A139">
        <v>2138</v>
      </c>
      <c r="B139">
        <v>6</v>
      </c>
      <c r="C139" t="s">
        <v>4</v>
      </c>
      <c r="D139">
        <f>INDEX(ListTrans!A:Z,14,7)</f>
        <v>150</v>
      </c>
    </row>
    <row r="140" spans="1:4" x14ac:dyDescent="0.25">
      <c r="A140">
        <v>2142</v>
      </c>
      <c r="B140">
        <v>6</v>
      </c>
      <c r="C140" t="s">
        <v>5</v>
      </c>
      <c r="D140">
        <f>INDEX(ListTrans!A:Z,14,8)</f>
        <v>30</v>
      </c>
    </row>
    <row r="141" spans="1:4" x14ac:dyDescent="0.25">
      <c r="A141">
        <v>2181</v>
      </c>
      <c r="B141">
        <v>6</v>
      </c>
      <c r="C141" t="s">
        <v>1</v>
      </c>
      <c r="D141" t="str">
        <f>INDEX(ListTrans!A:Z,14,9)</f>
        <v>Motor13 [%5.2f RPM]</v>
      </c>
    </row>
    <row r="142" spans="1:4" x14ac:dyDescent="0.25">
      <c r="A142">
        <v>2193</v>
      </c>
      <c r="B142">
        <v>6</v>
      </c>
      <c r="C142" t="s">
        <v>0</v>
      </c>
      <c r="D142" t="str">
        <f>INDEX(ListTrans!A:Z,14,11)</f>
        <v>GVL.InstallationA.Device01.Motors[ 13].Speed</v>
      </c>
    </row>
    <row r="143" spans="1:4" x14ac:dyDescent="0.25">
      <c r="A143">
        <v>2106</v>
      </c>
      <c r="B143">
        <v>4</v>
      </c>
      <c r="C143" t="s">
        <v>17</v>
      </c>
    </row>
    <row r="144" spans="1:4" x14ac:dyDescent="0.25">
      <c r="A144">
        <v>2109</v>
      </c>
      <c r="B144">
        <v>4</v>
      </c>
      <c r="C144" t="s">
        <v>71</v>
      </c>
    </row>
    <row r="145" spans="1:4" s="1" customFormat="1" x14ac:dyDescent="0.25">
      <c r="A145" s="1">
        <v>2117</v>
      </c>
      <c r="B145" s="1">
        <v>4</v>
      </c>
      <c r="C145" s="1" t="s">
        <v>72</v>
      </c>
    </row>
    <row r="146" spans="1:4" s="3" customFormat="1" x14ac:dyDescent="0.25">
      <c r="A146" s="3">
        <v>2121</v>
      </c>
      <c r="B146" s="3">
        <v>4</v>
      </c>
      <c r="C146" s="3" t="s">
        <v>42</v>
      </c>
    </row>
    <row r="147" spans="1:4" x14ac:dyDescent="0.25">
      <c r="A147">
        <v>2219</v>
      </c>
      <c r="B147">
        <v>6</v>
      </c>
      <c r="C147" t="s">
        <v>40</v>
      </c>
      <c r="D147">
        <f>INDEX(ListTrans!A:Z,15,10)</f>
        <v>0</v>
      </c>
    </row>
    <row r="148" spans="1:4" x14ac:dyDescent="0.25">
      <c r="A148">
        <v>2299</v>
      </c>
      <c r="B148">
        <v>6</v>
      </c>
      <c r="C148" t="s">
        <v>2</v>
      </c>
      <c r="D148">
        <f>INDEX(ListTrans!A:Z,15,5)</f>
        <v>250</v>
      </c>
    </row>
    <row r="149" spans="1:4" x14ac:dyDescent="0.25">
      <c r="A149">
        <v>2303</v>
      </c>
      <c r="B149">
        <v>6</v>
      </c>
      <c r="C149" t="s">
        <v>3</v>
      </c>
      <c r="D149">
        <f>INDEX(ListTrans!A:Z,15,6)</f>
        <v>250</v>
      </c>
    </row>
    <row r="150" spans="1:4" x14ac:dyDescent="0.25">
      <c r="A150">
        <v>2307</v>
      </c>
      <c r="B150">
        <v>6</v>
      </c>
      <c r="C150" t="s">
        <v>4</v>
      </c>
      <c r="D150">
        <f>INDEX(ListTrans!A:Z,15,7)</f>
        <v>150</v>
      </c>
    </row>
    <row r="151" spans="1:4" x14ac:dyDescent="0.25">
      <c r="A151">
        <v>2311</v>
      </c>
      <c r="B151">
        <v>6</v>
      </c>
      <c r="C151" t="s">
        <v>5</v>
      </c>
      <c r="D151">
        <f>INDEX(ListTrans!A:Z,15,8)</f>
        <v>30</v>
      </c>
    </row>
    <row r="152" spans="1:4" x14ac:dyDescent="0.25">
      <c r="A152">
        <v>2350</v>
      </c>
      <c r="B152">
        <v>6</v>
      </c>
      <c r="C152" t="s">
        <v>1</v>
      </c>
      <c r="D152" t="str">
        <f>INDEX(ListTrans!A:Z,15,9)</f>
        <v>Motor14 [%5.2f RPM]</v>
      </c>
    </row>
    <row r="153" spans="1:4" x14ac:dyDescent="0.25">
      <c r="A153">
        <v>2362</v>
      </c>
      <c r="B153">
        <v>6</v>
      </c>
      <c r="C153" t="s">
        <v>0</v>
      </c>
      <c r="D153" t="str">
        <f>INDEX(ListTrans!A:Z,15,11)</f>
        <v>GVL.InstallationA.Device01.Motors[ 14].Speed</v>
      </c>
    </row>
    <row r="154" spans="1:4" x14ac:dyDescent="0.25">
      <c r="A154">
        <v>2268</v>
      </c>
      <c r="B154">
        <v>4</v>
      </c>
      <c r="C154" t="s">
        <v>17</v>
      </c>
    </row>
    <row r="155" spans="1:4" x14ac:dyDescent="0.25">
      <c r="A155">
        <v>2271</v>
      </c>
      <c r="B155">
        <v>4</v>
      </c>
      <c r="C155" t="s">
        <v>73</v>
      </c>
    </row>
    <row r="156" spans="1:4" s="1" customFormat="1" x14ac:dyDescent="0.25">
      <c r="A156" s="1">
        <v>2279</v>
      </c>
      <c r="B156" s="1">
        <v>4</v>
      </c>
      <c r="C156" s="1" t="s">
        <v>74</v>
      </c>
    </row>
    <row r="157" spans="1:4" s="3" customFormat="1" x14ac:dyDescent="0.25">
      <c r="A157" s="3">
        <v>2283</v>
      </c>
      <c r="B157" s="3">
        <v>4</v>
      </c>
      <c r="C157" s="3" t="s">
        <v>42</v>
      </c>
    </row>
    <row r="158" spans="1:4" x14ac:dyDescent="0.25">
      <c r="A158">
        <v>2388</v>
      </c>
      <c r="B158">
        <v>6</v>
      </c>
      <c r="C158" t="s">
        <v>40</v>
      </c>
      <c r="D158">
        <f>INDEX(ListTrans!A:Z,16,10)</f>
        <v>0</v>
      </c>
    </row>
    <row r="159" spans="1:4" x14ac:dyDescent="0.25">
      <c r="A159">
        <v>2468</v>
      </c>
      <c r="B159">
        <v>6</v>
      </c>
      <c r="C159" t="s">
        <v>2</v>
      </c>
      <c r="D159">
        <f>INDEX(ListTrans!A:Z,16,5)</f>
        <v>250</v>
      </c>
    </row>
    <row r="160" spans="1:4" x14ac:dyDescent="0.25">
      <c r="A160">
        <v>2472</v>
      </c>
      <c r="B160">
        <v>6</v>
      </c>
      <c r="C160" t="s">
        <v>3</v>
      </c>
      <c r="D160">
        <f>INDEX(ListTrans!A:Z,16,6)</f>
        <v>290</v>
      </c>
    </row>
    <row r="161" spans="1:4" x14ac:dyDescent="0.25">
      <c r="A161">
        <v>2476</v>
      </c>
      <c r="B161">
        <v>6</v>
      </c>
      <c r="C161" t="s">
        <v>4</v>
      </c>
      <c r="D161">
        <f>INDEX(ListTrans!A:Z,16,7)</f>
        <v>150</v>
      </c>
    </row>
    <row r="162" spans="1:4" x14ac:dyDescent="0.25">
      <c r="A162">
        <v>2480</v>
      </c>
      <c r="B162">
        <v>6</v>
      </c>
      <c r="C162" t="s">
        <v>5</v>
      </c>
      <c r="D162">
        <f>INDEX(ListTrans!A:Z,16,8)</f>
        <v>30</v>
      </c>
    </row>
    <row r="163" spans="1:4" x14ac:dyDescent="0.25">
      <c r="A163">
        <v>2519</v>
      </c>
      <c r="B163">
        <v>6</v>
      </c>
      <c r="C163" t="s">
        <v>1</v>
      </c>
      <c r="D163" t="str">
        <f>INDEX(ListTrans!A:Z,16,9)</f>
        <v>Motor15 [%5.2f RPM]</v>
      </c>
    </row>
    <row r="164" spans="1:4" x14ac:dyDescent="0.25">
      <c r="A164">
        <v>2531</v>
      </c>
      <c r="B164">
        <v>6</v>
      </c>
      <c r="C164" t="s">
        <v>0</v>
      </c>
      <c r="D164" t="str">
        <f>INDEX(ListTrans!A:Z,16,11)</f>
        <v>GVL.InstallationA.Device01.Motors[ 15].Speed</v>
      </c>
    </row>
    <row r="165" spans="1:4" x14ac:dyDescent="0.25">
      <c r="A165">
        <v>2430</v>
      </c>
      <c r="B165">
        <v>4</v>
      </c>
      <c r="C165" t="s">
        <v>17</v>
      </c>
    </row>
    <row r="166" spans="1:4" x14ac:dyDescent="0.25">
      <c r="A166">
        <v>2433</v>
      </c>
      <c r="B166">
        <v>4</v>
      </c>
      <c r="C166" t="s">
        <v>75</v>
      </c>
    </row>
    <row r="167" spans="1:4" s="1" customFormat="1" x14ac:dyDescent="0.25">
      <c r="A167" s="1">
        <v>2441</v>
      </c>
      <c r="B167" s="1">
        <v>4</v>
      </c>
      <c r="C167" s="1" t="s">
        <v>76</v>
      </c>
    </row>
    <row r="168" spans="1:4" s="3" customFormat="1" x14ac:dyDescent="0.25">
      <c r="A168" s="3">
        <v>2445</v>
      </c>
      <c r="B168" s="3">
        <v>4</v>
      </c>
      <c r="C168" s="3" t="s">
        <v>42</v>
      </c>
    </row>
    <row r="169" spans="1:4" x14ac:dyDescent="0.25">
      <c r="A169">
        <v>2557</v>
      </c>
      <c r="B169">
        <v>6</v>
      </c>
      <c r="C169" t="s">
        <v>40</v>
      </c>
      <c r="D169">
        <f>INDEX(ListTrans!A:Z,17,10)</f>
        <v>0</v>
      </c>
    </row>
    <row r="170" spans="1:4" x14ac:dyDescent="0.25">
      <c r="A170">
        <v>2637</v>
      </c>
      <c r="B170">
        <v>6</v>
      </c>
      <c r="C170" t="s">
        <v>2</v>
      </c>
      <c r="D170">
        <f>INDEX(ListTrans!A:Z,17,5)</f>
        <v>250</v>
      </c>
    </row>
    <row r="171" spans="1:4" x14ac:dyDescent="0.25">
      <c r="A171">
        <v>2641</v>
      </c>
      <c r="B171">
        <v>6</v>
      </c>
      <c r="C171" t="s">
        <v>3</v>
      </c>
      <c r="D171">
        <f>INDEX(ListTrans!A:Z,17,6)</f>
        <v>330</v>
      </c>
    </row>
    <row r="172" spans="1:4" x14ac:dyDescent="0.25">
      <c r="A172">
        <v>2645</v>
      </c>
      <c r="B172">
        <v>6</v>
      </c>
      <c r="C172" t="s">
        <v>4</v>
      </c>
      <c r="D172">
        <f>INDEX(ListTrans!A:Z,17,7)</f>
        <v>150</v>
      </c>
    </row>
    <row r="173" spans="1:4" x14ac:dyDescent="0.25">
      <c r="A173">
        <v>2649</v>
      </c>
      <c r="B173">
        <v>6</v>
      </c>
      <c r="C173" t="s">
        <v>5</v>
      </c>
      <c r="D173">
        <f>INDEX(ListTrans!A:Z,17,8)</f>
        <v>30</v>
      </c>
    </row>
    <row r="174" spans="1:4" x14ac:dyDescent="0.25">
      <c r="A174">
        <v>2688</v>
      </c>
      <c r="B174">
        <v>6</v>
      </c>
      <c r="C174" t="s">
        <v>1</v>
      </c>
      <c r="D174" t="str">
        <f>INDEX(ListTrans!A:Z,17,9)</f>
        <v>Motor16 [%5.2f RPM]</v>
      </c>
    </row>
    <row r="175" spans="1:4" x14ac:dyDescent="0.25">
      <c r="A175">
        <v>2700</v>
      </c>
      <c r="B175">
        <v>6</v>
      </c>
      <c r="C175" t="s">
        <v>0</v>
      </c>
      <c r="D175" t="str">
        <f>INDEX(ListTrans!A:Z,17,11)</f>
        <v>GVL.InstallationA.Device01.Motors[ 16].Speed</v>
      </c>
    </row>
    <row r="176" spans="1:4" x14ac:dyDescent="0.25">
      <c r="A176">
        <v>2592</v>
      </c>
      <c r="B176">
        <v>4</v>
      </c>
      <c r="C176" t="s">
        <v>17</v>
      </c>
    </row>
    <row r="177" spans="1:4" x14ac:dyDescent="0.25">
      <c r="A177">
        <v>2595</v>
      </c>
      <c r="B177">
        <v>4</v>
      </c>
      <c r="C177" t="s">
        <v>77</v>
      </c>
    </row>
    <row r="178" spans="1:4" s="1" customFormat="1" x14ac:dyDescent="0.25">
      <c r="A178" s="1">
        <v>2603</v>
      </c>
      <c r="B178" s="1">
        <v>4</v>
      </c>
      <c r="C178" s="1" t="s">
        <v>78</v>
      </c>
    </row>
    <row r="179" spans="1:4" x14ac:dyDescent="0.25">
      <c r="A179">
        <v>2798</v>
      </c>
      <c r="B179">
        <v>5</v>
      </c>
      <c r="C179" t="s">
        <v>2</v>
      </c>
      <c r="D179">
        <v>62</v>
      </c>
    </row>
    <row r="180" spans="1:4" x14ac:dyDescent="0.25">
      <c r="A180">
        <v>2802</v>
      </c>
      <c r="B180">
        <v>5</v>
      </c>
      <c r="C180" t="s">
        <v>3</v>
      </c>
      <c r="D180">
        <f>INDEX(ListTrans!A:Z,18,6)</f>
        <v>50</v>
      </c>
    </row>
    <row r="181" spans="1:4" x14ac:dyDescent="0.25">
      <c r="A181">
        <v>2806</v>
      </c>
      <c r="B181">
        <v>5</v>
      </c>
      <c r="C181" t="s">
        <v>4</v>
      </c>
      <c r="D181">
        <f>INDEX(ListTrans!A:Z,18,7)</f>
        <v>450</v>
      </c>
    </row>
    <row r="182" spans="1:4" x14ac:dyDescent="0.25">
      <c r="A182">
        <v>2810</v>
      </c>
      <c r="B182">
        <v>5</v>
      </c>
      <c r="C182" t="s">
        <v>5</v>
      </c>
      <c r="D182">
        <f>INDEX(ListTrans!A:Z,18,8)</f>
        <v>410</v>
      </c>
    </row>
    <row r="183" spans="1:4" x14ac:dyDescent="0.25">
      <c r="A183">
        <v>2830</v>
      </c>
      <c r="B183">
        <v>5</v>
      </c>
      <c r="C183" t="s">
        <v>1</v>
      </c>
      <c r="D183" t="str">
        <f>INDEX(ListTrans!A:Z,18,9)</f>
        <v>GroupBox</v>
      </c>
    </row>
    <row r="184" spans="1:4" x14ac:dyDescent="0.25">
      <c r="A184">
        <v>2869</v>
      </c>
      <c r="B184">
        <v>5</v>
      </c>
      <c r="C184" t="s">
        <v>40</v>
      </c>
      <c r="D184">
        <f>INDEX(ListTrans!A:Z,18,10)</f>
        <v>0</v>
      </c>
    </row>
    <row r="185" spans="1:4" x14ac:dyDescent="0.25">
      <c r="A185">
        <v>2763</v>
      </c>
      <c r="B185">
        <v>3</v>
      </c>
      <c r="C185" t="s">
        <v>46</v>
      </c>
    </row>
    <row r="186" spans="1:4" x14ac:dyDescent="0.25">
      <c r="A186">
        <v>2766</v>
      </c>
      <c r="B186">
        <v>3</v>
      </c>
      <c r="C186" t="s">
        <v>79</v>
      </c>
    </row>
    <row r="187" spans="1:4" s="1" customFormat="1" x14ac:dyDescent="0.25">
      <c r="A187" s="1">
        <v>2774</v>
      </c>
      <c r="B187" s="1">
        <v>3</v>
      </c>
      <c r="C187" s="1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ECAE7-ED8A-4F69-AAA8-92860F71E4AB}">
  <sheetPr codeName="Sheet5"/>
  <dimension ref="A1:D12"/>
  <sheetViews>
    <sheetView workbookViewId="0">
      <selection activeCell="E18" sqref="E18"/>
    </sheetView>
  </sheetViews>
  <sheetFormatPr defaultRowHeight="15" x14ac:dyDescent="0.25"/>
  <cols>
    <col min="1" max="1" width="6.5703125" customWidth="1"/>
    <col min="2" max="2" width="23.140625" customWidth="1"/>
    <col min="3" max="3" width="16" customWidth="1"/>
    <col min="4" max="4" width="14" customWidth="1"/>
  </cols>
  <sheetData>
    <row r="1" spans="1:4" x14ac:dyDescent="0.25">
      <c r="A1" t="s">
        <v>31</v>
      </c>
      <c r="B1" t="s">
        <v>13</v>
      </c>
      <c r="C1" t="s">
        <v>23</v>
      </c>
      <c r="D1" t="s">
        <v>24</v>
      </c>
    </row>
    <row r="2" spans="1:4" x14ac:dyDescent="0.25">
      <c r="A2">
        <v>1</v>
      </c>
      <c r="B2" t="s">
        <v>2</v>
      </c>
      <c r="C2" t="s">
        <v>25</v>
      </c>
      <c r="D2" t="b">
        <v>1</v>
      </c>
    </row>
    <row r="3" spans="1:4" x14ac:dyDescent="0.25">
      <c r="A3">
        <v>1</v>
      </c>
      <c r="B3" t="s">
        <v>3</v>
      </c>
      <c r="C3" t="s">
        <v>26</v>
      </c>
      <c r="D3" t="b">
        <v>1</v>
      </c>
    </row>
    <row r="4" spans="1:4" x14ac:dyDescent="0.25">
      <c r="A4">
        <v>1</v>
      </c>
      <c r="B4" t="s">
        <v>4</v>
      </c>
      <c r="C4" t="s">
        <v>27</v>
      </c>
      <c r="D4" t="b">
        <v>1</v>
      </c>
    </row>
    <row r="5" spans="1:4" x14ac:dyDescent="0.25">
      <c r="A5">
        <v>1</v>
      </c>
      <c r="B5" t="s">
        <v>5</v>
      </c>
      <c r="C5" t="s">
        <v>28</v>
      </c>
      <c r="D5" t="b">
        <v>1</v>
      </c>
    </row>
    <row r="6" spans="1:4" x14ac:dyDescent="0.25">
      <c r="A6">
        <v>1</v>
      </c>
      <c r="B6" t="s">
        <v>1</v>
      </c>
      <c r="C6" t="s">
        <v>29</v>
      </c>
      <c r="D6" t="b">
        <v>0</v>
      </c>
    </row>
    <row r="7" spans="1:4" x14ac:dyDescent="0.25">
      <c r="A7">
        <v>1</v>
      </c>
      <c r="B7" t="s">
        <v>40</v>
      </c>
      <c r="C7" t="s">
        <v>41</v>
      </c>
      <c r="D7" t="b">
        <v>0</v>
      </c>
    </row>
    <row r="8" spans="1:4" x14ac:dyDescent="0.25">
      <c r="A8">
        <v>1</v>
      </c>
      <c r="B8" t="s">
        <v>0</v>
      </c>
      <c r="C8" t="s">
        <v>30</v>
      </c>
      <c r="D8" t="b">
        <v>0</v>
      </c>
    </row>
    <row r="9" spans="1:4" x14ac:dyDescent="0.25">
      <c r="A9">
        <v>1</v>
      </c>
      <c r="B9" t="s">
        <v>32</v>
      </c>
      <c r="C9" t="s">
        <v>39</v>
      </c>
      <c r="D9" t="b">
        <v>0</v>
      </c>
    </row>
    <row r="10" spans="1:4" x14ac:dyDescent="0.25">
      <c r="A10">
        <v>1</v>
      </c>
      <c r="B10" t="s">
        <v>33</v>
      </c>
      <c r="C10" t="s">
        <v>38</v>
      </c>
      <c r="D10" t="b">
        <v>0</v>
      </c>
    </row>
    <row r="11" spans="1:4" x14ac:dyDescent="0.25">
      <c r="A11">
        <v>1</v>
      </c>
      <c r="B11" t="s">
        <v>34</v>
      </c>
      <c r="C11" t="s">
        <v>36</v>
      </c>
      <c r="D11" t="b">
        <v>1</v>
      </c>
    </row>
    <row r="12" spans="1:4" x14ac:dyDescent="0.25">
      <c r="A12">
        <v>1</v>
      </c>
      <c r="B12" t="s">
        <v>35</v>
      </c>
      <c r="C12" t="s">
        <v>37</v>
      </c>
      <c r="D12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A1B38-5053-4C4F-94CF-197CF1666434}">
  <sheetPr codeName="Sheet2"/>
  <dimension ref="A1:O18"/>
  <sheetViews>
    <sheetView zoomScale="106" zoomScaleNormal="106" workbookViewId="0">
      <selection activeCell="I24" sqref="I24"/>
    </sheetView>
  </sheetViews>
  <sheetFormatPr defaultColWidth="17.7109375" defaultRowHeight="15" x14ac:dyDescent="0.25"/>
  <cols>
    <col min="1" max="1" width="27.42578125" customWidth="1"/>
    <col min="2" max="2" width="18.28515625" bestFit="1" customWidth="1"/>
    <col min="3" max="3" width="6.42578125" bestFit="1" customWidth="1"/>
    <col min="4" max="4" width="18.28515625" bestFit="1" customWidth="1"/>
    <col min="5" max="6" width="10.7109375" bestFit="1" customWidth="1"/>
    <col min="7" max="7" width="14.5703125" bestFit="1" customWidth="1"/>
    <col min="8" max="8" width="16.7109375" customWidth="1"/>
    <col min="9" max="9" width="21.85546875" customWidth="1"/>
    <col min="10" max="10" width="19.42578125" customWidth="1"/>
    <col min="11" max="11" width="46.7109375" customWidth="1"/>
    <col min="12" max="12" width="19.28515625" customWidth="1"/>
  </cols>
  <sheetData>
    <row r="1" spans="1:15" s="2" customFormat="1" x14ac:dyDescent="0.25">
      <c r="A1" s="2" t="s">
        <v>13</v>
      </c>
      <c r="B1" s="2" t="s">
        <v>14</v>
      </c>
      <c r="C1" s="2" t="s">
        <v>6</v>
      </c>
      <c r="D1" s="2" t="s">
        <v>15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1</v>
      </c>
      <c r="J1" s="2" t="s">
        <v>40</v>
      </c>
      <c r="K1" s="2" t="s">
        <v>0</v>
      </c>
      <c r="L1" s="2" t="s">
        <v>32</v>
      </c>
      <c r="M1" s="2" t="s">
        <v>33</v>
      </c>
      <c r="N1" s="2" t="s">
        <v>34</v>
      </c>
      <c r="O1" s="2" t="s">
        <v>35</v>
      </c>
    </row>
    <row r="2" spans="1:15" x14ac:dyDescent="0.25">
      <c r="A2" t="s">
        <v>18</v>
      </c>
      <c r="B2" t="s">
        <v>81</v>
      </c>
      <c r="C2">
        <v>4</v>
      </c>
      <c r="D2" t="s">
        <v>94</v>
      </c>
      <c r="E2">
        <v>50</v>
      </c>
      <c r="F2">
        <v>50</v>
      </c>
      <c r="G2">
        <v>150</v>
      </c>
      <c r="H2">
        <v>30</v>
      </c>
      <c r="I2" t="s">
        <v>141</v>
      </c>
      <c r="K2" t="s">
        <v>95</v>
      </c>
    </row>
    <row r="3" spans="1:15" x14ac:dyDescent="0.25">
      <c r="A3" t="s">
        <v>18</v>
      </c>
      <c r="B3" t="s">
        <v>82</v>
      </c>
      <c r="C3">
        <v>4</v>
      </c>
      <c r="D3" t="s">
        <v>94</v>
      </c>
      <c r="E3">
        <v>50</v>
      </c>
      <c r="F3">
        <v>90</v>
      </c>
      <c r="G3">
        <v>150</v>
      </c>
      <c r="H3">
        <v>30</v>
      </c>
      <c r="I3" t="s">
        <v>142</v>
      </c>
      <c r="K3" t="s">
        <v>96</v>
      </c>
    </row>
    <row r="4" spans="1:15" x14ac:dyDescent="0.25">
      <c r="A4" t="s">
        <v>18</v>
      </c>
      <c r="B4" t="s">
        <v>83</v>
      </c>
      <c r="C4">
        <v>4</v>
      </c>
      <c r="D4" t="s">
        <v>94</v>
      </c>
      <c r="E4">
        <v>50</v>
      </c>
      <c r="F4">
        <v>130</v>
      </c>
      <c r="G4">
        <v>150</v>
      </c>
      <c r="H4">
        <v>30</v>
      </c>
      <c r="I4" t="s">
        <v>127</v>
      </c>
      <c r="K4" t="s">
        <v>97</v>
      </c>
    </row>
    <row r="5" spans="1:15" x14ac:dyDescent="0.25">
      <c r="A5" t="s">
        <v>18</v>
      </c>
      <c r="B5" t="s">
        <v>84</v>
      </c>
      <c r="C5">
        <v>4</v>
      </c>
      <c r="D5" t="s">
        <v>94</v>
      </c>
      <c r="E5">
        <v>50</v>
      </c>
      <c r="F5">
        <v>170</v>
      </c>
      <c r="G5">
        <v>150</v>
      </c>
      <c r="H5">
        <v>30</v>
      </c>
      <c r="I5" t="s">
        <v>128</v>
      </c>
      <c r="K5" t="s">
        <v>98</v>
      </c>
    </row>
    <row r="6" spans="1:15" x14ac:dyDescent="0.25">
      <c r="A6" t="s">
        <v>18</v>
      </c>
      <c r="B6" t="s">
        <v>85</v>
      </c>
      <c r="C6">
        <v>4</v>
      </c>
      <c r="D6" t="s">
        <v>94</v>
      </c>
      <c r="E6">
        <v>50</v>
      </c>
      <c r="F6">
        <v>210</v>
      </c>
      <c r="G6">
        <v>150</v>
      </c>
      <c r="H6">
        <v>30</v>
      </c>
      <c r="I6" t="s">
        <v>129</v>
      </c>
      <c r="K6" t="s">
        <v>99</v>
      </c>
    </row>
    <row r="7" spans="1:15" x14ac:dyDescent="0.25">
      <c r="A7" t="s">
        <v>18</v>
      </c>
      <c r="B7" t="s">
        <v>86</v>
      </c>
      <c r="C7">
        <v>4</v>
      </c>
      <c r="D7" t="s">
        <v>94</v>
      </c>
      <c r="E7">
        <v>50</v>
      </c>
      <c r="F7">
        <v>250</v>
      </c>
      <c r="G7">
        <v>150</v>
      </c>
      <c r="H7">
        <v>30</v>
      </c>
      <c r="I7" t="s">
        <v>130</v>
      </c>
      <c r="K7" t="s">
        <v>100</v>
      </c>
    </row>
    <row r="8" spans="1:15" x14ac:dyDescent="0.25">
      <c r="A8" t="s">
        <v>18</v>
      </c>
      <c r="B8" t="s">
        <v>87</v>
      </c>
      <c r="C8">
        <v>4</v>
      </c>
      <c r="D8" t="s">
        <v>94</v>
      </c>
      <c r="E8">
        <v>50</v>
      </c>
      <c r="F8">
        <v>290</v>
      </c>
      <c r="G8">
        <v>150</v>
      </c>
      <c r="H8">
        <v>30</v>
      </c>
      <c r="I8" t="s">
        <v>131</v>
      </c>
      <c r="K8" t="s">
        <v>101</v>
      </c>
    </row>
    <row r="9" spans="1:15" x14ac:dyDescent="0.25">
      <c r="A9" t="s">
        <v>18</v>
      </c>
      <c r="B9" t="s">
        <v>88</v>
      </c>
      <c r="C9">
        <v>4</v>
      </c>
      <c r="D9" t="s">
        <v>94</v>
      </c>
      <c r="E9">
        <v>50</v>
      </c>
      <c r="F9">
        <v>330</v>
      </c>
      <c r="G9">
        <v>150</v>
      </c>
      <c r="H9">
        <v>30</v>
      </c>
      <c r="I9" t="s">
        <v>132</v>
      </c>
      <c r="K9" t="s">
        <v>102</v>
      </c>
    </row>
    <row r="10" spans="1:15" x14ac:dyDescent="0.25">
      <c r="A10" t="s">
        <v>18</v>
      </c>
      <c r="B10" t="s">
        <v>89</v>
      </c>
      <c r="C10">
        <v>4</v>
      </c>
      <c r="D10" t="s">
        <v>94</v>
      </c>
      <c r="E10">
        <v>250</v>
      </c>
      <c r="F10">
        <v>50</v>
      </c>
      <c r="G10">
        <v>150</v>
      </c>
      <c r="H10">
        <v>30</v>
      </c>
      <c r="I10" t="s">
        <v>133</v>
      </c>
      <c r="K10" t="s">
        <v>103</v>
      </c>
    </row>
    <row r="11" spans="1:15" x14ac:dyDescent="0.25">
      <c r="A11" t="s">
        <v>18</v>
      </c>
      <c r="B11" t="s">
        <v>90</v>
      </c>
      <c r="C11">
        <v>4</v>
      </c>
      <c r="D11" t="s">
        <v>94</v>
      </c>
      <c r="E11">
        <v>250</v>
      </c>
      <c r="F11">
        <v>90</v>
      </c>
      <c r="G11">
        <v>150</v>
      </c>
      <c r="H11">
        <v>30</v>
      </c>
      <c r="I11" t="s">
        <v>134</v>
      </c>
      <c r="K11" t="s">
        <v>104</v>
      </c>
    </row>
    <row r="12" spans="1:15" x14ac:dyDescent="0.25">
      <c r="A12" t="s">
        <v>18</v>
      </c>
      <c r="B12" t="s">
        <v>91</v>
      </c>
      <c r="C12">
        <v>4</v>
      </c>
      <c r="D12" t="s">
        <v>94</v>
      </c>
      <c r="E12">
        <v>250</v>
      </c>
      <c r="F12">
        <v>130</v>
      </c>
      <c r="G12">
        <v>150</v>
      </c>
      <c r="H12">
        <v>30</v>
      </c>
      <c r="I12" t="s">
        <v>135</v>
      </c>
      <c r="K12" t="s">
        <v>105</v>
      </c>
    </row>
    <row r="13" spans="1:15" x14ac:dyDescent="0.25">
      <c r="A13" t="s">
        <v>18</v>
      </c>
      <c r="B13" t="s">
        <v>92</v>
      </c>
      <c r="C13">
        <v>4</v>
      </c>
      <c r="D13" t="s">
        <v>94</v>
      </c>
      <c r="E13">
        <v>250</v>
      </c>
      <c r="F13">
        <v>170</v>
      </c>
      <c r="G13">
        <v>150</v>
      </c>
      <c r="H13">
        <v>30</v>
      </c>
      <c r="I13" t="s">
        <v>136</v>
      </c>
      <c r="K13" t="s">
        <v>106</v>
      </c>
    </row>
    <row r="14" spans="1:15" x14ac:dyDescent="0.25">
      <c r="A14" t="s">
        <v>18</v>
      </c>
      <c r="B14" t="s">
        <v>93</v>
      </c>
      <c r="C14">
        <v>4</v>
      </c>
      <c r="D14" t="s">
        <v>94</v>
      </c>
      <c r="E14">
        <v>250</v>
      </c>
      <c r="F14">
        <v>210</v>
      </c>
      <c r="G14">
        <v>150</v>
      </c>
      <c r="H14">
        <v>30</v>
      </c>
      <c r="I14" t="s">
        <v>137</v>
      </c>
      <c r="K14" t="s">
        <v>107</v>
      </c>
    </row>
    <row r="15" spans="1:15" x14ac:dyDescent="0.25">
      <c r="A15" t="s">
        <v>18</v>
      </c>
      <c r="B15" t="s">
        <v>22</v>
      </c>
      <c r="C15">
        <v>4</v>
      </c>
      <c r="D15" t="s">
        <v>94</v>
      </c>
      <c r="E15">
        <v>250</v>
      </c>
      <c r="F15">
        <v>250</v>
      </c>
      <c r="G15">
        <v>150</v>
      </c>
      <c r="H15">
        <v>30</v>
      </c>
      <c r="I15" t="s">
        <v>138</v>
      </c>
      <c r="K15" t="s">
        <v>108</v>
      </c>
    </row>
    <row r="16" spans="1:15" x14ac:dyDescent="0.25">
      <c r="A16" t="s">
        <v>18</v>
      </c>
      <c r="B16" t="s">
        <v>19</v>
      </c>
      <c r="C16">
        <v>4</v>
      </c>
      <c r="D16" t="s">
        <v>94</v>
      </c>
      <c r="E16">
        <v>250</v>
      </c>
      <c r="F16">
        <v>290</v>
      </c>
      <c r="G16">
        <v>150</v>
      </c>
      <c r="H16">
        <v>30</v>
      </c>
      <c r="I16" t="s">
        <v>139</v>
      </c>
      <c r="K16" t="s">
        <v>109</v>
      </c>
    </row>
    <row r="17" spans="1:11" x14ac:dyDescent="0.25">
      <c r="A17" t="s">
        <v>18</v>
      </c>
      <c r="B17" t="s">
        <v>20</v>
      </c>
      <c r="C17">
        <v>4</v>
      </c>
      <c r="D17" t="s">
        <v>94</v>
      </c>
      <c r="E17">
        <v>250</v>
      </c>
      <c r="F17">
        <v>330</v>
      </c>
      <c r="G17">
        <v>150</v>
      </c>
      <c r="H17">
        <v>30</v>
      </c>
      <c r="I17" t="s">
        <v>140</v>
      </c>
      <c r="K17" t="s">
        <v>110</v>
      </c>
    </row>
    <row r="18" spans="1:11" x14ac:dyDescent="0.25">
      <c r="A18" t="s">
        <v>21</v>
      </c>
      <c r="B18" t="s">
        <v>94</v>
      </c>
      <c r="C18">
        <v>3</v>
      </c>
      <c r="E18">
        <v>50</v>
      </c>
      <c r="F18">
        <v>50</v>
      </c>
      <c r="G18">
        <v>450</v>
      </c>
      <c r="H18">
        <v>410</v>
      </c>
      <c r="I18" t="s">
        <v>45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2C82D-7D97-4C92-B46D-424A21073A11}">
  <sheetPr codeName="Sheet4"/>
  <dimension ref="A1:O18"/>
  <sheetViews>
    <sheetView workbookViewId="0">
      <selection activeCell="D24" sqref="D24"/>
    </sheetView>
  </sheetViews>
  <sheetFormatPr defaultColWidth="17.7109375" defaultRowHeight="15" x14ac:dyDescent="0.25"/>
  <cols>
    <col min="1" max="1" width="27.42578125" customWidth="1"/>
    <col min="2" max="2" width="18.28515625" bestFit="1" customWidth="1"/>
    <col min="3" max="3" width="6.42578125" bestFit="1" customWidth="1"/>
    <col min="4" max="4" width="18.28515625" bestFit="1" customWidth="1"/>
    <col min="5" max="6" width="10.7109375" bestFit="1" customWidth="1"/>
    <col min="7" max="7" width="14.5703125" bestFit="1" customWidth="1"/>
    <col min="8" max="8" width="16.7109375" customWidth="1"/>
    <col min="9" max="9" width="18.5703125" customWidth="1"/>
    <col min="10" max="10" width="19.42578125" customWidth="1"/>
    <col min="11" max="11" width="46.7109375" customWidth="1"/>
    <col min="12" max="12" width="19.28515625" customWidth="1"/>
  </cols>
  <sheetData>
    <row r="1" spans="1:15" s="2" customFormat="1" x14ac:dyDescent="0.25">
      <c r="A1" s="2" t="s">
        <v>13</v>
      </c>
      <c r="B1" s="2" t="s">
        <v>14</v>
      </c>
      <c r="C1" s="2" t="s">
        <v>6</v>
      </c>
      <c r="D1" s="2" t="s">
        <v>15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1</v>
      </c>
      <c r="J1" s="2" t="s">
        <v>40</v>
      </c>
      <c r="K1" s="2" t="s">
        <v>0</v>
      </c>
      <c r="L1" s="2" t="s">
        <v>32</v>
      </c>
      <c r="M1" s="2" t="s">
        <v>33</v>
      </c>
      <c r="N1" s="2" t="s">
        <v>34</v>
      </c>
      <c r="O1" s="2" t="s">
        <v>35</v>
      </c>
    </row>
    <row r="2" spans="1:15" x14ac:dyDescent="0.25">
      <c r="A2" t="s">
        <v>18</v>
      </c>
      <c r="B2" t="s">
        <v>81</v>
      </c>
      <c r="C2">
        <v>4</v>
      </c>
      <c r="D2" t="s">
        <v>94</v>
      </c>
      <c r="E2">
        <v>50</v>
      </c>
      <c r="F2">
        <v>50</v>
      </c>
      <c r="G2">
        <v>150</v>
      </c>
      <c r="H2">
        <v>30</v>
      </c>
      <c r="I2" t="s">
        <v>111</v>
      </c>
      <c r="K2" t="s">
        <v>95</v>
      </c>
    </row>
    <row r="3" spans="1:15" x14ac:dyDescent="0.25">
      <c r="A3" t="s">
        <v>18</v>
      </c>
      <c r="B3" t="s">
        <v>82</v>
      </c>
      <c r="C3">
        <v>4</v>
      </c>
      <c r="D3" t="s">
        <v>94</v>
      </c>
      <c r="E3">
        <v>50</v>
      </c>
      <c r="F3">
        <v>90</v>
      </c>
      <c r="G3">
        <v>150</v>
      </c>
      <c r="H3">
        <v>30</v>
      </c>
      <c r="I3" t="s">
        <v>112</v>
      </c>
      <c r="K3" t="s">
        <v>96</v>
      </c>
    </row>
    <row r="4" spans="1:15" x14ac:dyDescent="0.25">
      <c r="A4" t="s">
        <v>18</v>
      </c>
      <c r="B4" t="s">
        <v>83</v>
      </c>
      <c r="C4">
        <v>4</v>
      </c>
      <c r="D4" t="s">
        <v>94</v>
      </c>
      <c r="E4">
        <v>50</v>
      </c>
      <c r="F4">
        <v>130</v>
      </c>
      <c r="G4">
        <v>150</v>
      </c>
      <c r="H4">
        <v>30</v>
      </c>
      <c r="I4" t="s">
        <v>113</v>
      </c>
      <c r="K4" t="s">
        <v>97</v>
      </c>
    </row>
    <row r="5" spans="1:15" x14ac:dyDescent="0.25">
      <c r="A5" t="s">
        <v>18</v>
      </c>
      <c r="B5" t="s">
        <v>84</v>
      </c>
      <c r="C5">
        <v>4</v>
      </c>
      <c r="D5" t="s">
        <v>94</v>
      </c>
      <c r="E5">
        <v>50</v>
      </c>
      <c r="F5">
        <v>170</v>
      </c>
      <c r="G5">
        <v>150</v>
      </c>
      <c r="H5">
        <v>30</v>
      </c>
      <c r="I5" t="s">
        <v>114</v>
      </c>
      <c r="K5" t="s">
        <v>98</v>
      </c>
    </row>
    <row r="6" spans="1:15" x14ac:dyDescent="0.25">
      <c r="A6" t="s">
        <v>18</v>
      </c>
      <c r="B6" t="s">
        <v>85</v>
      </c>
      <c r="C6">
        <v>4</v>
      </c>
      <c r="D6" t="s">
        <v>94</v>
      </c>
      <c r="E6">
        <v>50</v>
      </c>
      <c r="F6">
        <v>210</v>
      </c>
      <c r="G6">
        <v>150</v>
      </c>
      <c r="H6">
        <v>30</v>
      </c>
      <c r="I6" t="s">
        <v>115</v>
      </c>
      <c r="K6" t="s">
        <v>99</v>
      </c>
    </row>
    <row r="7" spans="1:15" x14ac:dyDescent="0.25">
      <c r="A7" t="s">
        <v>18</v>
      </c>
      <c r="B7" t="s">
        <v>86</v>
      </c>
      <c r="C7">
        <v>4</v>
      </c>
      <c r="D7" t="s">
        <v>94</v>
      </c>
      <c r="E7">
        <v>50</v>
      </c>
      <c r="F7">
        <v>250</v>
      </c>
      <c r="G7">
        <v>150</v>
      </c>
      <c r="H7">
        <v>30</v>
      </c>
      <c r="I7" t="s">
        <v>116</v>
      </c>
      <c r="K7" t="s">
        <v>100</v>
      </c>
    </row>
    <row r="8" spans="1:15" x14ac:dyDescent="0.25">
      <c r="A8" t="s">
        <v>18</v>
      </c>
      <c r="B8" t="s">
        <v>87</v>
      </c>
      <c r="C8">
        <v>4</v>
      </c>
      <c r="D8" t="s">
        <v>94</v>
      </c>
      <c r="E8">
        <v>50</v>
      </c>
      <c r="F8">
        <v>290</v>
      </c>
      <c r="G8">
        <v>150</v>
      </c>
      <c r="H8">
        <v>30</v>
      </c>
      <c r="I8" t="s">
        <v>117</v>
      </c>
      <c r="K8" t="s">
        <v>101</v>
      </c>
    </row>
    <row r="9" spans="1:15" x14ac:dyDescent="0.25">
      <c r="A9" t="s">
        <v>18</v>
      </c>
      <c r="B9" t="s">
        <v>88</v>
      </c>
      <c r="C9">
        <v>4</v>
      </c>
      <c r="D9" t="s">
        <v>94</v>
      </c>
      <c r="E9">
        <v>50</v>
      </c>
      <c r="F9">
        <v>330</v>
      </c>
      <c r="G9">
        <v>150</v>
      </c>
      <c r="H9">
        <v>30</v>
      </c>
      <c r="I9" t="s">
        <v>118</v>
      </c>
      <c r="K9" t="s">
        <v>102</v>
      </c>
    </row>
    <row r="10" spans="1:15" x14ac:dyDescent="0.25">
      <c r="A10" t="s">
        <v>18</v>
      </c>
      <c r="B10" t="s">
        <v>89</v>
      </c>
      <c r="C10">
        <v>4</v>
      </c>
      <c r="D10" t="s">
        <v>94</v>
      </c>
      <c r="E10">
        <v>250</v>
      </c>
      <c r="F10">
        <v>50</v>
      </c>
      <c r="G10">
        <v>150</v>
      </c>
      <c r="H10">
        <v>30</v>
      </c>
      <c r="I10" t="s">
        <v>119</v>
      </c>
      <c r="K10" t="s">
        <v>103</v>
      </c>
    </row>
    <row r="11" spans="1:15" x14ac:dyDescent="0.25">
      <c r="A11" t="s">
        <v>18</v>
      </c>
      <c r="B11" t="s">
        <v>90</v>
      </c>
      <c r="C11">
        <v>4</v>
      </c>
      <c r="D11" t="s">
        <v>94</v>
      </c>
      <c r="E11">
        <v>250</v>
      </c>
      <c r="F11">
        <v>90</v>
      </c>
      <c r="G11">
        <v>150</v>
      </c>
      <c r="H11">
        <v>30</v>
      </c>
      <c r="I11" t="s">
        <v>120</v>
      </c>
      <c r="K11" t="s">
        <v>104</v>
      </c>
    </row>
    <row r="12" spans="1:15" x14ac:dyDescent="0.25">
      <c r="A12" t="s">
        <v>18</v>
      </c>
      <c r="B12" t="s">
        <v>91</v>
      </c>
      <c r="C12">
        <v>4</v>
      </c>
      <c r="D12" t="s">
        <v>94</v>
      </c>
      <c r="E12">
        <v>250</v>
      </c>
      <c r="F12">
        <v>130</v>
      </c>
      <c r="G12">
        <v>150</v>
      </c>
      <c r="H12">
        <v>30</v>
      </c>
      <c r="I12" t="s">
        <v>121</v>
      </c>
      <c r="K12" t="s">
        <v>105</v>
      </c>
    </row>
    <row r="13" spans="1:15" x14ac:dyDescent="0.25">
      <c r="A13" t="s">
        <v>18</v>
      </c>
      <c r="B13" t="s">
        <v>92</v>
      </c>
      <c r="C13">
        <v>4</v>
      </c>
      <c r="D13" t="s">
        <v>94</v>
      </c>
      <c r="E13">
        <v>250</v>
      </c>
      <c r="F13">
        <v>170</v>
      </c>
      <c r="G13">
        <v>150</v>
      </c>
      <c r="H13">
        <v>30</v>
      </c>
      <c r="I13" t="s">
        <v>122</v>
      </c>
      <c r="K13" t="s">
        <v>106</v>
      </c>
    </row>
    <row r="14" spans="1:15" x14ac:dyDescent="0.25">
      <c r="A14" t="s">
        <v>18</v>
      </c>
      <c r="B14" t="s">
        <v>93</v>
      </c>
      <c r="C14">
        <v>4</v>
      </c>
      <c r="D14" t="s">
        <v>94</v>
      </c>
      <c r="E14">
        <v>250</v>
      </c>
      <c r="F14">
        <v>210</v>
      </c>
      <c r="G14">
        <v>150</v>
      </c>
      <c r="H14">
        <v>30</v>
      </c>
      <c r="I14" t="s">
        <v>123</v>
      </c>
      <c r="K14" t="s">
        <v>107</v>
      </c>
    </row>
    <row r="15" spans="1:15" x14ac:dyDescent="0.25">
      <c r="A15" t="s">
        <v>18</v>
      </c>
      <c r="B15" t="s">
        <v>22</v>
      </c>
      <c r="C15">
        <v>4</v>
      </c>
      <c r="D15" t="s">
        <v>94</v>
      </c>
      <c r="E15">
        <v>250</v>
      </c>
      <c r="F15">
        <v>250</v>
      </c>
      <c r="G15">
        <v>150</v>
      </c>
      <c r="H15">
        <v>30</v>
      </c>
      <c r="I15" t="s">
        <v>124</v>
      </c>
      <c r="K15" t="s">
        <v>108</v>
      </c>
    </row>
    <row r="16" spans="1:15" x14ac:dyDescent="0.25">
      <c r="A16" t="s">
        <v>18</v>
      </c>
      <c r="B16" t="s">
        <v>19</v>
      </c>
      <c r="C16">
        <v>4</v>
      </c>
      <c r="D16" t="s">
        <v>94</v>
      </c>
      <c r="E16">
        <v>250</v>
      </c>
      <c r="F16">
        <v>290</v>
      </c>
      <c r="G16">
        <v>150</v>
      </c>
      <c r="H16">
        <v>30</v>
      </c>
      <c r="I16" t="s">
        <v>125</v>
      </c>
      <c r="K16" t="s">
        <v>109</v>
      </c>
    </row>
    <row r="17" spans="1:11" x14ac:dyDescent="0.25">
      <c r="A17" t="s">
        <v>18</v>
      </c>
      <c r="B17" t="s">
        <v>20</v>
      </c>
      <c r="C17">
        <v>4</v>
      </c>
      <c r="D17" t="s">
        <v>94</v>
      </c>
      <c r="E17">
        <v>250</v>
      </c>
      <c r="F17">
        <v>330</v>
      </c>
      <c r="G17">
        <v>150</v>
      </c>
      <c r="H17">
        <v>30</v>
      </c>
      <c r="I17" t="s">
        <v>126</v>
      </c>
      <c r="K17" t="s">
        <v>110</v>
      </c>
    </row>
    <row r="18" spans="1:11" x14ac:dyDescent="0.25">
      <c r="A18" t="s">
        <v>21</v>
      </c>
      <c r="B18" t="s">
        <v>94</v>
      </c>
      <c r="C18">
        <v>3</v>
      </c>
      <c r="E18">
        <v>50</v>
      </c>
      <c r="F18">
        <v>50</v>
      </c>
      <c r="G18">
        <v>450</v>
      </c>
      <c r="H18">
        <v>410</v>
      </c>
      <c r="I18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Config</vt:lpstr>
      <vt:lpstr>List</vt:lpstr>
      <vt:lpstr>Vars</vt:lpstr>
      <vt:lpstr>ListTrans</vt:lpstr>
      <vt:lpstr>Sheet1</vt:lpstr>
      <vt:lpstr>FileName</vt:lpstr>
      <vt:lpstr>FilePath</vt:lpstr>
      <vt:lpstr>OutName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2015-06-05T18:17:20Z</dcterms:created>
  <dcterms:modified xsi:type="dcterms:W3CDTF">2026-09-03T11:23:00Z</dcterms:modified>
</cp:coreProperties>
</file>